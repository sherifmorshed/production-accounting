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P010874\Desktop\Revised Project\Accounting\"/>
    </mc:Choice>
  </mc:AlternateContent>
  <bookViews>
    <workbookView xWindow="0" yWindow="0" windowWidth="28800" windowHeight="12180"/>
  </bookViews>
  <sheets>
    <sheet name="FIERAN" sheetId="12" r:id="rId1"/>
  </sheets>
  <definedNames>
    <definedName name="_xlnm._FilterDatabase" localSheetId="0" hidden="1">FIERAN!$A$31:$M$36</definedName>
    <definedName name="account">#REF!</definedName>
  </definedNames>
  <calcPr calcId="162913"/>
</workbook>
</file>

<file path=xl/calcChain.xml><?xml version="1.0" encoding="utf-8"?>
<calcChain xmlns="http://schemas.openxmlformats.org/spreadsheetml/2006/main">
  <c r="I17" i="12" l="1"/>
  <c r="E4" i="12" l="1"/>
  <c r="E3" i="12"/>
  <c r="A1" i="12" l="1"/>
  <c r="B27" i="12"/>
  <c r="C27" i="12" s="1"/>
  <c r="H21" i="12" s="1"/>
  <c r="F27" i="12" l="1"/>
  <c r="K23" i="12" l="1"/>
  <c r="I12" i="12" l="1"/>
  <c r="I13" i="12" s="1"/>
  <c r="G21" i="12" s="1"/>
  <c r="M1048532" i="12"/>
  <c r="D27" i="12"/>
  <c r="E26" i="12"/>
  <c r="C26" i="12"/>
  <c r="C25" i="12"/>
  <c r="E25" i="12" s="1"/>
  <c r="C24" i="12"/>
  <c r="E24" i="12" s="1"/>
  <c r="C23" i="12"/>
  <c r="E23" i="12" s="1"/>
  <c r="C22" i="12"/>
  <c r="E22" i="12" s="1"/>
  <c r="C21" i="12"/>
  <c r="E21" i="12" s="1"/>
  <c r="V20" i="12"/>
  <c r="U20" i="12"/>
  <c r="C20" i="12"/>
  <c r="E20" i="12" s="1"/>
  <c r="V19" i="12"/>
  <c r="U19" i="12"/>
  <c r="C19" i="12"/>
  <c r="E19" i="12" s="1"/>
  <c r="V18" i="12"/>
  <c r="U18" i="12"/>
  <c r="C18" i="12"/>
  <c r="E18" i="12" s="1"/>
  <c r="V17" i="12"/>
  <c r="U17" i="12"/>
  <c r="I18" i="12"/>
  <c r="G22" i="12" s="1"/>
  <c r="C17" i="12"/>
  <c r="E17" i="12" s="1"/>
  <c r="V16" i="12"/>
  <c r="U16" i="12"/>
  <c r="C16" i="12"/>
  <c r="E16" i="12" s="1"/>
  <c r="V15" i="12"/>
  <c r="U15" i="12"/>
  <c r="C15" i="12"/>
  <c r="E15" i="12" s="1"/>
  <c r="V14" i="12"/>
  <c r="U14" i="12"/>
  <c r="C14" i="12"/>
  <c r="E14" i="12" s="1"/>
  <c r="V13" i="12"/>
  <c r="U13" i="12"/>
  <c r="C13" i="12"/>
  <c r="E13" i="12" s="1"/>
  <c r="V12" i="12"/>
  <c r="U12" i="12"/>
  <c r="C12" i="12"/>
  <c r="E12" i="12" s="1"/>
  <c r="V11" i="12"/>
  <c r="U11" i="12"/>
  <c r="C11" i="12"/>
  <c r="E11" i="12" s="1"/>
  <c r="U10" i="12"/>
  <c r="V10" i="12" s="1"/>
  <c r="C10" i="12"/>
  <c r="E10" i="12" s="1"/>
  <c r="C9" i="12"/>
  <c r="E9" i="12" s="1"/>
  <c r="C8" i="12"/>
  <c r="E8" i="12" s="1"/>
  <c r="C7" i="12"/>
  <c r="E7" i="12" s="1"/>
  <c r="C6" i="12"/>
  <c r="E6" i="12" s="1"/>
  <c r="C5" i="12"/>
  <c r="E5" i="12" s="1"/>
  <c r="C4" i="12"/>
  <c r="C3" i="12"/>
  <c r="H22" i="12" l="1"/>
  <c r="H23" i="12" s="1"/>
  <c r="F28" i="12"/>
  <c r="F29" i="12" s="1"/>
  <c r="E27" i="12"/>
  <c r="G23" i="12"/>
  <c r="I21" i="12"/>
  <c r="I24" i="12" s="1"/>
  <c r="K24" i="12" l="1"/>
  <c r="K25" i="12" s="1"/>
  <c r="I22" i="12"/>
  <c r="I23" i="12" s="1"/>
  <c r="J21" i="12"/>
  <c r="J22" i="12" l="1"/>
  <c r="J23" i="12" s="1"/>
  <c r="I25" i="12"/>
  <c r="K8" i="12" s="1"/>
  <c r="K7" i="12"/>
  <c r="I26" i="12"/>
  <c r="K9" i="12" l="1"/>
</calcChain>
</file>

<file path=xl/sharedStrings.xml><?xml version="1.0" encoding="utf-8"?>
<sst xmlns="http://schemas.openxmlformats.org/spreadsheetml/2006/main" count="86" uniqueCount="45">
  <si>
    <t>FEIRAN</t>
  </si>
  <si>
    <t>TOTAL</t>
  </si>
  <si>
    <t xml:space="preserve"> </t>
  </si>
  <si>
    <t>MARINE</t>
  </si>
  <si>
    <t>TIME</t>
  </si>
  <si>
    <t>Noon</t>
  </si>
  <si>
    <t>1 AM</t>
  </si>
  <si>
    <t>6 AM</t>
  </si>
  <si>
    <t>LAND</t>
  </si>
  <si>
    <t>BBLS.</t>
  </si>
  <si>
    <t>M³</t>
  </si>
  <si>
    <t xml:space="preserve"> ACTUAL</t>
  </si>
  <si>
    <t>OIL</t>
  </si>
  <si>
    <t>TOT.</t>
  </si>
  <si>
    <t>PET.&amp;T.B.</t>
  </si>
  <si>
    <t>CM</t>
  </si>
  <si>
    <t>BB</t>
  </si>
  <si>
    <t>TK-1</t>
  </si>
  <si>
    <t>TK-2</t>
  </si>
  <si>
    <t>TK-14</t>
  </si>
  <si>
    <t>TK-5</t>
  </si>
  <si>
    <t>TK-6</t>
  </si>
  <si>
    <t>TK-8</t>
  </si>
  <si>
    <t>TK-9</t>
  </si>
  <si>
    <t>Land</t>
  </si>
  <si>
    <t>Marine</t>
  </si>
  <si>
    <t>http://www.7nujoom.com/auth?promotion=70008&amp;lg=ar&amp;cid=6900654831419240409</t>
  </si>
  <si>
    <t xml:space="preserve"> Received at Feiran </t>
  </si>
  <si>
    <t>M.N.</t>
  </si>
  <si>
    <t xml:space="preserve">      </t>
  </si>
  <si>
    <t>TK3</t>
  </si>
  <si>
    <t>TK4</t>
  </si>
  <si>
    <t>TK GB-2</t>
  </si>
  <si>
    <t>TK GB-3</t>
  </si>
  <si>
    <t xml:space="preserve">  PROD. REPORT #</t>
  </si>
  <si>
    <t xml:space="preserve">                     </t>
  </si>
  <si>
    <t xml:space="preserve">Drain Calculation </t>
  </si>
  <si>
    <t>Condensate</t>
  </si>
  <si>
    <t xml:space="preserve">Shedwan field </t>
  </si>
  <si>
    <t xml:space="preserve">zeitco field </t>
  </si>
  <si>
    <t xml:space="preserve">Land </t>
  </si>
  <si>
    <t>Total with Shedwan &amp; Zeitco &amp; Condensate</t>
  </si>
  <si>
    <t>Total without Shedwan &amp; Zeitco &amp; Condensate</t>
  </si>
  <si>
    <t>Petreco Input</t>
  </si>
  <si>
    <t>MARINE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</si>
</sst>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d/m/yyyy"/>
    <numFmt numFmtId="165" formatCode="0_ ;\-0\ "/>
    <numFmt numFmtId="166" formatCode="[$-1010000]d/m/yyyy;@"/>
    <numFmt numFmtId="167" formatCode="dd/mm/yy"/>
    <numFmt numFmtId="168" formatCode="0.000"/>
    <numFmt numFmtId="169" formatCode="[$-1000409]h:mm\ AM/PM;@"/>
    <numFmt numFmtId="170" formatCode="[$-409]h:mm\ AM/PM;@"/>
    <numFmt numFmtId="171" formatCode="0.0"/>
    <numFmt numFmtId="172" formatCode="[$-2000401]dd\-mmm"/>
    <numFmt numFmtId="173" formatCode="mm/dd/yy;@"/>
  </numFmts>
  <fonts count="56" x14ac:knownFonts="1">
    <font>
      <sz val="10"/>
      <name val="Arial"/>
    </font>
    <font>
      <b/>
      <i/>
      <u/>
      <sz val="16"/>
      <color indexed="8"/>
      <name val="Times New Roman"/>
      <family val="1"/>
    </font>
    <font>
      <sz val="10"/>
      <name val="Arial"/>
      <family val="2"/>
    </font>
    <font>
      <b/>
      <i/>
      <sz val="14"/>
      <name val="Times New Roman"/>
      <family val="1"/>
    </font>
    <font>
      <b/>
      <i/>
      <sz val="16"/>
      <name val="Arial"/>
      <family val="2"/>
    </font>
    <font>
      <b/>
      <i/>
      <u/>
      <sz val="14"/>
      <color indexed="8"/>
      <name val="Times New Roman"/>
      <family val="1"/>
    </font>
    <font>
      <sz val="10"/>
      <name val="Arial"/>
      <family val="2"/>
    </font>
    <font>
      <b/>
      <i/>
      <sz val="12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i/>
      <sz val="16"/>
      <name val="Times New Roman"/>
      <family val="1"/>
    </font>
    <font>
      <b/>
      <sz val="14"/>
      <name val="Arial"/>
      <family val="2"/>
    </font>
    <font>
      <b/>
      <i/>
      <sz val="14"/>
      <name val="Arial"/>
      <family val="2"/>
    </font>
    <font>
      <b/>
      <i/>
      <sz val="16"/>
      <color indexed="10"/>
      <name val="Arial"/>
      <family val="2"/>
    </font>
    <font>
      <b/>
      <i/>
      <sz val="12"/>
      <name val="Arial"/>
      <family val="2"/>
    </font>
    <font>
      <sz val="10"/>
      <name val="Times New Roman"/>
      <family val="1"/>
    </font>
    <font>
      <b/>
      <i/>
      <sz val="18"/>
      <name val="Times New Roman"/>
      <family val="1"/>
    </font>
    <font>
      <b/>
      <i/>
      <sz val="13"/>
      <name val="Times New Roman"/>
      <family val="1"/>
    </font>
    <font>
      <b/>
      <i/>
      <sz val="14"/>
      <color indexed="10"/>
      <name val="Times New Roman"/>
      <family val="1"/>
    </font>
    <font>
      <b/>
      <i/>
      <sz val="10"/>
      <name val="Arial"/>
      <family val="2"/>
    </font>
    <font>
      <i/>
      <sz val="12"/>
      <name val="Times New Roman"/>
      <family val="1"/>
    </font>
    <font>
      <b/>
      <i/>
      <sz val="14"/>
      <color indexed="12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  <font>
      <b/>
      <i/>
      <sz val="11"/>
      <name val="Arial"/>
      <family val="2"/>
    </font>
    <font>
      <b/>
      <i/>
      <sz val="10"/>
      <color indexed="10"/>
      <name val="Times New Roman"/>
      <family val="1"/>
    </font>
    <font>
      <b/>
      <sz val="13"/>
      <name val="Times New Roman"/>
      <family val="1"/>
    </font>
    <font>
      <u/>
      <sz val="10"/>
      <color rgb="FF0000FF"/>
      <name val="Arial"/>
      <family val="2"/>
    </font>
    <font>
      <b/>
      <i/>
      <sz val="13"/>
      <name val="Times New Roman"/>
      <family val="1"/>
    </font>
    <font>
      <b/>
      <i/>
      <sz val="13"/>
      <name val="Arial"/>
      <family val="2"/>
    </font>
    <font>
      <b/>
      <i/>
      <sz val="20"/>
      <color rgb="FFFF0000"/>
      <name val="Times New Roman"/>
      <family val="1"/>
    </font>
    <font>
      <b/>
      <i/>
      <u/>
      <sz val="13"/>
      <color rgb="FFFF0000"/>
      <name val="Times New Roman"/>
      <family val="1"/>
    </font>
    <font>
      <b/>
      <i/>
      <u/>
      <sz val="22"/>
      <color rgb="FFFF0000"/>
      <name val="Times New Roman"/>
      <family val="1"/>
    </font>
    <font>
      <sz val="13"/>
      <name val="Arial"/>
      <family val="2"/>
    </font>
    <font>
      <b/>
      <i/>
      <sz val="20"/>
      <name val="Times New Roman"/>
      <family val="1"/>
    </font>
    <font>
      <sz val="18"/>
      <name val="Arial"/>
      <family val="2"/>
    </font>
    <font>
      <b/>
      <sz val="18"/>
      <name val="Arial"/>
      <family val="2"/>
    </font>
    <font>
      <b/>
      <i/>
      <sz val="22"/>
      <color rgb="FFFF0000"/>
      <name val="Arial"/>
      <family val="2"/>
    </font>
    <font>
      <b/>
      <i/>
      <sz val="12"/>
      <color rgb="FFFF0000"/>
      <name val="Times New Roman"/>
      <family val="1"/>
    </font>
    <font>
      <i/>
      <sz val="14"/>
      <name val="Arial"/>
      <family val="2"/>
    </font>
    <font>
      <b/>
      <i/>
      <sz val="14"/>
      <color rgb="FFFF0000"/>
      <name val="Times New Roman"/>
      <family val="1"/>
    </font>
    <font>
      <b/>
      <i/>
      <sz val="13"/>
      <color rgb="FFFF0000"/>
      <name val="Times New Roman"/>
      <family val="1"/>
    </font>
    <font>
      <b/>
      <i/>
      <sz val="20"/>
      <color indexed="10"/>
      <name val="Arial"/>
      <family val="2"/>
    </font>
    <font>
      <b/>
      <i/>
      <sz val="20"/>
      <color rgb="FFFF0000"/>
      <name val="Arial"/>
      <family val="2"/>
    </font>
    <font>
      <b/>
      <i/>
      <sz val="18"/>
      <color rgb="FFC00000"/>
      <name val="Arial"/>
      <family val="2"/>
    </font>
    <font>
      <b/>
      <i/>
      <sz val="13"/>
      <color indexed="8"/>
      <name val="Times New Roman"/>
      <family val="1"/>
    </font>
    <font>
      <b/>
      <i/>
      <sz val="18"/>
      <color rgb="FFFF0000"/>
      <name val="Times New Roman"/>
      <family val="1"/>
    </font>
    <font>
      <b/>
      <i/>
      <sz val="22"/>
      <color rgb="FFFF0000"/>
      <name val="Times New Roman"/>
      <family val="1"/>
    </font>
    <font>
      <b/>
      <i/>
      <sz val="16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i/>
      <sz val="9"/>
      <name val="Times New Roman"/>
      <family val="1"/>
    </font>
    <font>
      <sz val="10"/>
      <color rgb="FFFFFFFF"/>
      <name val="Arial"/>
      <family val="2"/>
    </font>
    <font>
      <b/>
      <i/>
      <sz val="36"/>
      <color indexed="10"/>
      <name val="Times New Roman"/>
      <family val="1"/>
    </font>
    <font>
      <b/>
      <i/>
      <sz val="18"/>
      <name val="Times New Roman"/>
      <family val="1"/>
    </font>
    <font>
      <b/>
      <i/>
      <sz val="16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gray125"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gray125">
        <bgColor rgb="FFFFFF00"/>
      </patternFill>
    </fill>
    <fill>
      <patternFill patternType="solid">
        <fgColor rgb="FFFCD5B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protection locked="0"/>
    </xf>
    <xf numFmtId="0" fontId="28" fillId="0" borderId="0">
      <protection locked="0"/>
    </xf>
  </cellStyleXfs>
  <cellXfs count="209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2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/>
    <xf numFmtId="1" fontId="6" fillId="0" borderId="0" xfId="0" applyNumberFormat="1" applyFont="1" applyAlignme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/>
    <xf numFmtId="1" fontId="4" fillId="0" borderId="0" xfId="0" applyNumberFormat="1" applyFont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1" fontId="11" fillId="0" borderId="0" xfId="0" applyNumberFormat="1" applyFont="1" applyAlignment="1"/>
    <xf numFmtId="0" fontId="24" fillId="0" borderId="0" xfId="0" applyFont="1" applyBorder="1" applyAlignment="1" applyProtection="1">
      <protection locked="0"/>
    </xf>
    <xf numFmtId="171" fontId="7" fillId="0" borderId="0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/>
      <protection locked="0"/>
    </xf>
    <xf numFmtId="1" fontId="14" fillId="0" borderId="0" xfId="0" applyNumberFormat="1" applyFont="1" applyBorder="1" applyAlignment="1" applyProtection="1">
      <alignment horizontal="center"/>
      <protection locked="0"/>
    </xf>
    <xf numFmtId="1" fontId="7" fillId="0" borderId="0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Protection="1">
      <alignment vertical="center"/>
      <protection locked="0"/>
    </xf>
    <xf numFmtId="165" fontId="32" fillId="12" borderId="14" xfId="0" applyNumberFormat="1" applyFont="1" applyFill="1" applyBorder="1">
      <alignment vertical="center"/>
    </xf>
    <xf numFmtId="165" fontId="33" fillId="12" borderId="15" xfId="0" applyNumberFormat="1" applyFont="1" applyFill="1" applyBorder="1">
      <alignment vertical="center"/>
    </xf>
    <xf numFmtId="165" fontId="33" fillId="12" borderId="16" xfId="0" applyNumberFormat="1" applyFont="1" applyFill="1" applyBorder="1">
      <alignment vertical="center"/>
    </xf>
    <xf numFmtId="0" fontId="34" fillId="0" borderId="0" xfId="0" applyFont="1" applyAlignment="1"/>
    <xf numFmtId="172" fontId="6" fillId="0" borderId="0" xfId="0" applyNumberFormat="1" applyFont="1" applyAlignment="1"/>
    <xf numFmtId="0" fontId="21" fillId="0" borderId="0" xfId="0" applyFont="1" applyBorder="1" applyAlignment="1">
      <alignment horizontal="center" vertical="center"/>
    </xf>
    <xf numFmtId="164" fontId="26" fillId="0" borderId="0" xfId="0" applyNumberFormat="1" applyFont="1" applyBorder="1" applyAlignment="1">
      <alignment horizontal="center" vertical="center"/>
    </xf>
    <xf numFmtId="165" fontId="1" fillId="2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34" fillId="0" borderId="0" xfId="1" applyFont="1" applyAlignment="1" applyProtection="1"/>
    <xf numFmtId="1" fontId="10" fillId="0" borderId="0" xfId="0" applyNumberFormat="1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0" fontId="7" fillId="0" borderId="0" xfId="0" applyNumberFormat="1" applyFont="1" applyBorder="1" applyAlignment="1">
      <alignment horizontal="center" vertical="center"/>
    </xf>
    <xf numFmtId="169" fontId="7" fillId="0" borderId="0" xfId="0" applyNumberFormat="1" applyFont="1" applyBorder="1" applyAlignment="1">
      <alignment horizontal="center" vertical="center"/>
    </xf>
    <xf numFmtId="1" fontId="35" fillId="8" borderId="3" xfId="0" applyNumberFormat="1" applyFont="1" applyFill="1" applyBorder="1" applyAlignment="1">
      <alignment horizontal="center" vertical="center"/>
    </xf>
    <xf numFmtId="0" fontId="35" fillId="0" borderId="19" xfId="0" applyFont="1" applyFill="1" applyBorder="1" applyAlignment="1">
      <alignment horizontal="center" vertical="center"/>
    </xf>
    <xf numFmtId="1" fontId="31" fillId="9" borderId="26" xfId="0" applyNumberFormat="1" applyFont="1" applyFill="1" applyBorder="1" applyAlignment="1">
      <alignment horizontal="center" vertical="center"/>
    </xf>
    <xf numFmtId="1" fontId="31" fillId="9" borderId="11" xfId="0" applyNumberFormat="1" applyFont="1" applyFill="1" applyBorder="1" applyAlignment="1">
      <alignment horizontal="center" vertical="center"/>
    </xf>
    <xf numFmtId="170" fontId="29" fillId="13" borderId="2" xfId="0" applyNumberFormat="1" applyFont="1" applyFill="1" applyBorder="1" applyAlignment="1">
      <alignment horizontal="center" vertical="center"/>
    </xf>
    <xf numFmtId="169" fontId="29" fillId="13" borderId="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" fontId="35" fillId="8" borderId="19" xfId="0" applyNumberFormat="1" applyFont="1" applyFill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2" fontId="29" fillId="0" borderId="2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" fontId="35" fillId="8" borderId="22" xfId="0" applyNumberFormat="1" applyFont="1" applyFill="1" applyBorder="1" applyAlignment="1">
      <alignment horizontal="center" vertical="center"/>
    </xf>
    <xf numFmtId="173" fontId="36" fillId="0" borderId="0" xfId="1" applyNumberFormat="1" applyFont="1" applyAlignment="1" applyProtection="1">
      <alignment horizontal="center" vertical="center"/>
    </xf>
    <xf numFmtId="0" fontId="37" fillId="0" borderId="0" xfId="0" applyFont="1" applyAlignment="1"/>
    <xf numFmtId="0" fontId="37" fillId="0" borderId="0" xfId="0" applyFont="1" applyAlignment="1">
      <alignment horizontal="center" vertical="center"/>
    </xf>
    <xf numFmtId="1" fontId="35" fillId="8" borderId="19" xfId="0" quotePrefix="1" applyNumberFormat="1" applyFont="1" applyFill="1" applyBorder="1" applyAlignment="1">
      <alignment horizontal="center" vertical="center"/>
    </xf>
    <xf numFmtId="1" fontId="38" fillId="14" borderId="2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 vertical="center"/>
    </xf>
    <xf numFmtId="1" fontId="38" fillId="14" borderId="2" xfId="0" applyNumberFormat="1" applyFont="1" applyFill="1" applyBorder="1" applyAlignment="1">
      <alignment horizontal="center" vertical="center"/>
    </xf>
    <xf numFmtId="0" fontId="2" fillId="0" borderId="0" xfId="1" applyAlignment="1" applyProtection="1"/>
    <xf numFmtId="1" fontId="39" fillId="0" borderId="0" xfId="0" applyNumberFormat="1" applyFont="1" applyBorder="1" applyAlignment="1" applyProtection="1">
      <alignment horizontal="right"/>
      <protection locked="0"/>
    </xf>
    <xf numFmtId="1" fontId="16" fillId="0" borderId="0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168" fontId="29" fillId="0" borderId="0" xfId="0" applyNumberFormat="1" applyFont="1" applyBorder="1" applyAlignment="1">
      <alignment horizontal="center" vertical="center"/>
    </xf>
    <xf numFmtId="1" fontId="29" fillId="15" borderId="2" xfId="0" applyNumberFormat="1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73" fontId="34" fillId="0" borderId="0" xfId="1" applyNumberFormat="1" applyFont="1" applyAlignment="1" applyProtection="1"/>
    <xf numFmtId="1" fontId="10" fillId="0" borderId="0" xfId="0" applyNumberFormat="1" applyFont="1" applyBorder="1">
      <alignment vertical="center"/>
    </xf>
    <xf numFmtId="1" fontId="29" fillId="13" borderId="14" xfId="0" applyNumberFormat="1" applyFont="1" applyFill="1" applyBorder="1" applyAlignment="1">
      <alignment horizontal="center" vertical="center"/>
    </xf>
    <xf numFmtId="1" fontId="13" fillId="0" borderId="0" xfId="0" applyNumberFormat="1" applyFont="1" applyBorder="1" applyAlignment="1">
      <alignment horizontal="center" vertical="center"/>
    </xf>
    <xf numFmtId="1" fontId="8" fillId="5" borderId="2" xfId="0" applyNumberFormat="1" applyFont="1" applyFill="1" applyBorder="1" applyAlignment="1">
      <alignment horizontal="center" vertical="center"/>
    </xf>
    <xf numFmtId="1" fontId="29" fillId="17" borderId="2" xfId="0" applyNumberFormat="1" applyFont="1" applyFill="1" applyBorder="1" applyAlignment="1">
      <alignment horizontal="center" vertical="center"/>
    </xf>
    <xf numFmtId="1" fontId="29" fillId="5" borderId="2" xfId="0" applyNumberFormat="1" applyFont="1" applyFill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67" fontId="29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" fontId="27" fillId="0" borderId="2" xfId="0" applyNumberFormat="1" applyFont="1" applyBorder="1" applyAlignment="1">
      <alignment horizontal="center" vertical="center"/>
    </xf>
    <xf numFmtId="1" fontId="29" fillId="11" borderId="2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34" fillId="0" borderId="13" xfId="0" applyFont="1" applyBorder="1" applyAlignment="1"/>
    <xf numFmtId="1" fontId="10" fillId="0" borderId="0" xfId="0" quotePrefix="1" applyNumberFormat="1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1" fontId="42" fillId="11" borderId="2" xfId="0" applyNumberFormat="1" applyFont="1" applyFill="1" applyBorder="1" applyAlignment="1">
      <alignment horizontal="center" vertical="center"/>
    </xf>
    <xf numFmtId="1" fontId="43" fillId="7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3" fillId="6" borderId="2" xfId="0" applyNumberFormat="1" applyFont="1" applyFill="1" applyBorder="1" applyAlignment="1">
      <alignment horizontal="center" vertical="center"/>
    </xf>
    <xf numFmtId="172" fontId="12" fillId="0" borderId="0" xfId="0" applyNumberFormat="1" applyFont="1" applyBorder="1" applyAlignment="1">
      <alignment horizontal="center" vertical="center"/>
    </xf>
    <xf numFmtId="1" fontId="35" fillId="8" borderId="20" xfId="0" quotePrefix="1" applyNumberFormat="1" applyFont="1" applyFill="1" applyBorder="1" applyAlignment="1">
      <alignment horizontal="center" vertical="center"/>
    </xf>
    <xf numFmtId="1" fontId="46" fillId="0" borderId="0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" fontId="3" fillId="0" borderId="0" xfId="0" applyNumberFormat="1" applyFont="1" applyBorder="1">
      <alignment vertical="center"/>
    </xf>
    <xf numFmtId="168" fontId="25" fillId="0" borderId="0" xfId="0" applyNumberFormat="1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" fontId="31" fillId="14" borderId="2" xfId="0" applyNumberFormat="1" applyFont="1" applyFill="1" applyBorder="1" applyAlignment="1">
      <alignment horizontal="center" vertical="center"/>
    </xf>
    <xf numFmtId="1" fontId="47" fillId="14" borderId="2" xfId="0" applyNumberFormat="1" applyFont="1" applyFill="1" applyBorder="1" applyAlignment="1">
      <alignment horizontal="center" vertical="center"/>
    </xf>
    <xf numFmtId="1" fontId="35" fillId="8" borderId="2" xfId="0" applyNumberFormat="1" applyFont="1" applyFill="1" applyBorder="1" applyAlignment="1">
      <alignment horizontal="center" vertical="center"/>
    </xf>
    <xf numFmtId="1" fontId="50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" fontId="47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2" fontId="4" fillId="0" borderId="0" xfId="0" applyNumberFormat="1" applyFont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0" fontId="52" fillId="8" borderId="0" xfId="0" applyFont="1" applyFill="1" applyAlignment="1"/>
    <xf numFmtId="0" fontId="0" fillId="0" borderId="0" xfId="0" quotePrefix="1">
      <alignment vertical="center"/>
    </xf>
    <xf numFmtId="0" fontId="0" fillId="0" borderId="0" xfId="0" applyAlignment="1">
      <alignment vertical="center"/>
    </xf>
    <xf numFmtId="0" fontId="29" fillId="13" borderId="25" xfId="0" applyFont="1" applyFill="1" applyBorder="1" applyAlignment="1">
      <alignment vertical="center"/>
    </xf>
    <xf numFmtId="0" fontId="29" fillId="13" borderId="1" xfId="0" applyFont="1" applyFill="1" applyBorder="1" applyAlignment="1">
      <alignment vertical="center"/>
    </xf>
    <xf numFmtId="0" fontId="29" fillId="13" borderId="24" xfId="0" applyFont="1" applyFill="1" applyBorder="1" applyAlignment="1">
      <alignment vertical="center"/>
    </xf>
    <xf numFmtId="0" fontId="29" fillId="13" borderId="7" xfId="0" applyFont="1" applyFill="1" applyBorder="1" applyAlignment="1">
      <alignment vertical="center"/>
    </xf>
    <xf numFmtId="0" fontId="29" fillId="13" borderId="0" xfId="0" applyFont="1" applyFill="1" applyBorder="1" applyAlignment="1">
      <alignment vertical="center"/>
    </xf>
    <xf numFmtId="0" fontId="29" fillId="13" borderId="28" xfId="0" applyFont="1" applyFill="1" applyBorder="1" applyAlignment="1">
      <alignment vertical="center"/>
    </xf>
    <xf numFmtId="0" fontId="29" fillId="13" borderId="21" xfId="0" applyFont="1" applyFill="1" applyBorder="1" applyAlignment="1">
      <alignment vertical="center"/>
    </xf>
    <xf numFmtId="0" fontId="29" fillId="13" borderId="23" xfId="0" applyFont="1" applyFill="1" applyBorder="1" applyAlignment="1">
      <alignment vertical="center"/>
    </xf>
    <xf numFmtId="0" fontId="29" fillId="13" borderId="27" xfId="0" applyFont="1" applyFill="1" applyBorder="1" applyAlignment="1">
      <alignment vertical="center"/>
    </xf>
    <xf numFmtId="0" fontId="3" fillId="0" borderId="12" xfId="0" applyFont="1" applyBorder="1" applyAlignment="1" applyProtection="1">
      <alignment horizontal="center" vertical="center"/>
      <protection locked="0"/>
    </xf>
    <xf numFmtId="1" fontId="12" fillId="0" borderId="17" xfId="0" applyNumberFormat="1" applyFont="1" applyBorder="1" applyAlignment="1" applyProtection="1">
      <alignment horizontal="center"/>
      <protection locked="0"/>
    </xf>
    <xf numFmtId="0" fontId="12" fillId="0" borderId="17" xfId="0" applyFont="1" applyBorder="1" applyAlignment="1" applyProtection="1">
      <alignment horizontal="center"/>
      <protection locked="0"/>
    </xf>
    <xf numFmtId="0" fontId="3" fillId="0" borderId="17" xfId="0" applyFont="1" applyFill="1" applyBorder="1" applyAlignment="1" applyProtection="1">
      <alignment horizontal="center" vertical="center"/>
      <protection locked="0"/>
    </xf>
    <xf numFmtId="0" fontId="40" fillId="0" borderId="18" xfId="0" applyFont="1" applyBorder="1" applyAlignment="1" applyProtection="1">
      <protection locked="0"/>
    </xf>
    <xf numFmtId="0" fontId="41" fillId="10" borderId="12" xfId="0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center" vertical="center"/>
    </xf>
    <xf numFmtId="1" fontId="3" fillId="0" borderId="17" xfId="0" applyNumberFormat="1" applyFont="1" applyBorder="1" applyAlignment="1" applyProtection="1">
      <alignment horizontal="center" vertical="center"/>
      <protection locked="0"/>
    </xf>
    <xf numFmtId="1" fontId="3" fillId="0" borderId="17" xfId="0" applyNumberFormat="1" applyFont="1" applyFill="1" applyBorder="1" applyAlignment="1" applyProtection="1">
      <alignment horizontal="center" vertical="center"/>
      <protection locked="0"/>
    </xf>
    <xf numFmtId="2" fontId="3" fillId="0" borderId="18" xfId="0" applyNumberFormat="1" applyFont="1" applyFill="1" applyBorder="1" applyAlignment="1" applyProtection="1">
      <alignment horizontal="center" vertical="center"/>
      <protection locked="0"/>
    </xf>
    <xf numFmtId="0" fontId="3" fillId="10" borderId="12" xfId="0" applyFont="1" applyFill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71" fontId="3" fillId="0" borderId="18" xfId="0" applyNumberFormat="1" applyFont="1" applyFill="1" applyBorder="1" applyAlignment="1" applyProtection="1">
      <alignment horizontal="center" vertical="center"/>
      <protection locked="0"/>
    </xf>
    <xf numFmtId="1" fontId="11" fillId="0" borderId="17" xfId="0" applyNumberFormat="1" applyFont="1" applyBorder="1" applyAlignment="1">
      <alignment horizontal="center" vertical="center"/>
    </xf>
    <xf numFmtId="0" fontId="3" fillId="10" borderId="8" xfId="0" applyFont="1" applyFill="1" applyBorder="1" applyAlignment="1" applyProtection="1">
      <alignment horizontal="center" vertical="center"/>
      <protection locked="0"/>
    </xf>
    <xf numFmtId="0" fontId="11" fillId="0" borderId="9" xfId="0" applyFont="1" applyBorder="1" applyAlignment="1">
      <alignment horizontal="center" vertical="center"/>
    </xf>
    <xf numFmtId="1" fontId="3" fillId="0" borderId="9" xfId="0" applyNumberFormat="1" applyFont="1" applyBorder="1" applyAlignment="1" applyProtection="1">
      <alignment horizontal="center" vertical="center"/>
      <protection locked="0"/>
    </xf>
    <xf numFmtId="1" fontId="3" fillId="0" borderId="9" xfId="0" applyNumberFormat="1" applyFont="1" applyFill="1" applyBorder="1" applyAlignment="1" applyProtection="1">
      <alignment horizontal="center" vertical="center"/>
      <protection locked="0"/>
    </xf>
    <xf numFmtId="0" fontId="3" fillId="0" borderId="10" xfId="0" applyFont="1" applyFill="1" applyBorder="1" applyAlignment="1" applyProtection="1">
      <alignment horizontal="center" vertical="center"/>
      <protection locked="0"/>
    </xf>
    <xf numFmtId="0" fontId="54" fillId="4" borderId="3" xfId="0" applyFont="1" applyFill="1" applyBorder="1" applyAlignment="1">
      <alignment horizontal="center" vertical="center"/>
    </xf>
    <xf numFmtId="0" fontId="55" fillId="4" borderId="2" xfId="0" applyFont="1" applyFill="1" applyBorder="1" applyAlignment="1">
      <alignment horizontal="center" vertical="center"/>
    </xf>
    <xf numFmtId="0" fontId="0" fillId="0" borderId="0" xfId="0">
      <alignment vertical="center"/>
    </xf>
    <xf numFmtId="165" fontId="5" fillId="2" borderId="0" xfId="0" applyNumberFormat="1" applyFont="1" applyFill="1" applyBorder="1" applyAlignment="1">
      <alignment horizontal="center" vertical="center"/>
    </xf>
    <xf numFmtId="164" fontId="31" fillId="5" borderId="14" xfId="0" applyNumberFormat="1" applyFont="1" applyFill="1" applyBorder="1" applyAlignment="1">
      <alignment horizontal="center" vertical="center"/>
    </xf>
    <xf numFmtId="0" fontId="31" fillId="5" borderId="15" xfId="0" applyFont="1" applyFill="1" applyBorder="1" applyAlignment="1">
      <alignment horizontal="center" vertical="center"/>
    </xf>
    <xf numFmtId="0" fontId="31" fillId="5" borderId="16" xfId="0" applyFont="1" applyFill="1" applyBorder="1" applyAlignment="1">
      <alignment horizontal="center" vertical="center"/>
    </xf>
    <xf numFmtId="1" fontId="45" fillId="0" borderId="0" xfId="0" applyNumberFormat="1" applyFont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35" fillId="13" borderId="15" xfId="0" applyFont="1" applyFill="1" applyBorder="1" applyAlignment="1">
      <alignment horizontal="center" vertical="center"/>
    </xf>
    <xf numFmtId="0" fontId="35" fillId="13" borderId="16" xfId="0" applyFont="1" applyFill="1" applyBorder="1" applyAlignment="1">
      <alignment horizontal="center" vertical="center"/>
    </xf>
    <xf numFmtId="168" fontId="35" fillId="16" borderId="15" xfId="0" applyNumberFormat="1" applyFont="1" applyFill="1" applyBorder="1" applyAlignment="1">
      <alignment horizontal="center" vertical="center"/>
    </xf>
    <xf numFmtId="168" fontId="35" fillId="16" borderId="16" xfId="0" applyNumberFormat="1" applyFont="1" applyFill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" fontId="29" fillId="17" borderId="14" xfId="0" applyNumberFormat="1" applyFont="1" applyFill="1" applyBorder="1" applyAlignment="1">
      <alignment horizontal="center" vertical="center"/>
    </xf>
    <xf numFmtId="1" fontId="29" fillId="17" borderId="15" xfId="0" applyNumberFormat="1" applyFont="1" applyFill="1" applyBorder="1" applyAlignment="1">
      <alignment horizontal="center" vertical="center"/>
    </xf>
    <xf numFmtId="1" fontId="29" fillId="17" borderId="16" xfId="0" applyNumberFormat="1" applyFont="1" applyFill="1" applyBorder="1" applyAlignment="1">
      <alignment horizontal="center" vertical="center"/>
    </xf>
    <xf numFmtId="1" fontId="42" fillId="16" borderId="14" xfId="0" applyNumberFormat="1" applyFont="1" applyFill="1" applyBorder="1" applyAlignment="1">
      <alignment horizontal="center" vertical="center"/>
    </xf>
    <xf numFmtId="1" fontId="42" fillId="16" borderId="15" xfId="0" applyNumberFormat="1" applyFont="1" applyFill="1" applyBorder="1" applyAlignment="1">
      <alignment horizontal="center" vertical="center"/>
    </xf>
    <xf numFmtId="1" fontId="42" fillId="16" borderId="16" xfId="0" applyNumberFormat="1" applyFont="1" applyFill="1" applyBorder="1" applyAlignment="1">
      <alignment horizontal="center" vertical="center"/>
    </xf>
    <xf numFmtId="0" fontId="29" fillId="11" borderId="14" xfId="0" applyFont="1" applyFill="1" applyBorder="1" applyAlignment="1">
      <alignment horizontal="center" vertical="center"/>
    </xf>
    <xf numFmtId="0" fontId="29" fillId="11" borderId="15" xfId="0" applyFont="1" applyFill="1" applyBorder="1" applyAlignment="1">
      <alignment horizontal="center" vertical="center"/>
    </xf>
    <xf numFmtId="0" fontId="29" fillId="11" borderId="16" xfId="0" applyFont="1" applyFill="1" applyBorder="1" applyAlignment="1">
      <alignment horizontal="center" vertical="center"/>
    </xf>
    <xf numFmtId="1" fontId="17" fillId="5" borderId="2" xfId="0" applyNumberFormat="1" applyFont="1" applyFill="1" applyBorder="1" applyAlignment="1">
      <alignment horizontal="center" vertical="center"/>
    </xf>
    <xf numFmtId="1" fontId="29" fillId="5" borderId="2" xfId="0" applyNumberFormat="1" applyFont="1" applyFill="1" applyBorder="1" applyAlignment="1">
      <alignment horizontal="center" vertical="center"/>
    </xf>
    <xf numFmtId="166" fontId="18" fillId="0" borderId="0" xfId="0" applyNumberFormat="1" applyFont="1" applyBorder="1" applyAlignment="1">
      <alignment horizontal="center"/>
    </xf>
    <xf numFmtId="168" fontId="35" fillId="13" borderId="15" xfId="0" applyNumberFormat="1" applyFont="1" applyFill="1" applyBorder="1" applyAlignment="1">
      <alignment horizontal="center" vertical="center"/>
    </xf>
    <xf numFmtId="168" fontId="35" fillId="13" borderId="16" xfId="0" applyNumberFormat="1" applyFont="1" applyFill="1" applyBorder="1" applyAlignment="1">
      <alignment horizontal="center" vertical="center"/>
    </xf>
    <xf numFmtId="0" fontId="35" fillId="16" borderId="15" xfId="0" applyFont="1" applyFill="1" applyBorder="1" applyAlignment="1">
      <alignment horizontal="center" vertical="center"/>
    </xf>
    <xf numFmtId="0" fontId="35" fillId="16" borderId="16" xfId="0" applyFont="1" applyFill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8" fontId="29" fillId="11" borderId="2" xfId="0" applyNumberFormat="1" applyFont="1" applyFill="1" applyBorder="1" applyAlignment="1">
      <alignment horizontal="center" vertical="center"/>
    </xf>
    <xf numFmtId="0" fontId="29" fillId="13" borderId="2" xfId="0" applyFont="1" applyFill="1" applyBorder="1" applyAlignment="1">
      <alignment horizontal="center" vertical="center"/>
    </xf>
    <xf numFmtId="168" fontId="29" fillId="11" borderId="14" xfId="0" applyNumberFormat="1" applyFont="1" applyFill="1" applyBorder="1" applyAlignment="1">
      <alignment horizontal="center" vertical="center"/>
    </xf>
    <xf numFmtId="168" fontId="29" fillId="11" borderId="16" xfId="0" applyNumberFormat="1" applyFont="1" applyFill="1" applyBorder="1" applyAlignment="1">
      <alignment horizontal="center" vertical="center"/>
    </xf>
    <xf numFmtId="168" fontId="35" fillId="16" borderId="27" xfId="0" applyNumberFormat="1" applyFont="1" applyFill="1" applyBorder="1" applyAlignment="1">
      <alignment horizontal="center" vertical="center"/>
    </xf>
    <xf numFmtId="1" fontId="44" fillId="16" borderId="25" xfId="0" applyNumberFormat="1" applyFont="1" applyFill="1" applyBorder="1" applyAlignment="1">
      <alignment horizontal="center" vertical="center"/>
    </xf>
    <xf numFmtId="1" fontId="44" fillId="16" borderId="24" xfId="0" applyNumberFormat="1" applyFont="1" applyFill="1" applyBorder="1" applyAlignment="1">
      <alignment horizontal="center" vertical="center"/>
    </xf>
    <xf numFmtId="164" fontId="53" fillId="0" borderId="4" xfId="0" applyNumberFormat="1" applyFont="1" applyBorder="1" applyAlignment="1" applyProtection="1">
      <alignment horizontal="center" vertical="center"/>
      <protection locked="0"/>
    </xf>
    <xf numFmtId="164" fontId="53" fillId="0" borderId="5" xfId="0" applyNumberFormat="1" applyFont="1" applyBorder="1" applyAlignment="1" applyProtection="1">
      <alignment horizontal="center" vertical="center"/>
      <protection locked="0"/>
    </xf>
    <xf numFmtId="164" fontId="53" fillId="0" borderId="6" xfId="0" applyNumberFormat="1" applyFont="1" applyBorder="1" applyAlignment="1" applyProtection="1">
      <alignment horizontal="center" vertical="center"/>
      <protection locked="0"/>
    </xf>
    <xf numFmtId="1" fontId="44" fillId="17" borderId="25" xfId="0" applyNumberFormat="1" applyFont="1" applyFill="1" applyBorder="1" applyAlignment="1">
      <alignment horizontal="center" vertical="center"/>
    </xf>
    <xf numFmtId="1" fontId="44" fillId="17" borderId="24" xfId="0" applyNumberFormat="1" applyFont="1" applyFill="1" applyBorder="1" applyAlignment="1">
      <alignment horizontal="center" vertical="center"/>
    </xf>
    <xf numFmtId="1" fontId="49" fillId="11" borderId="14" xfId="0" applyNumberFormat="1" applyFont="1" applyFill="1" applyBorder="1" applyAlignment="1">
      <alignment horizontal="center" vertical="center"/>
    </xf>
    <xf numFmtId="1" fontId="49" fillId="11" borderId="15" xfId="0" applyNumberFormat="1" applyFont="1" applyFill="1" applyBorder="1" applyAlignment="1">
      <alignment horizontal="center" vertical="center"/>
    </xf>
    <xf numFmtId="1" fontId="49" fillId="11" borderId="16" xfId="0" applyNumberFormat="1" applyFont="1" applyFill="1" applyBorder="1" applyAlignment="1">
      <alignment horizontal="center" vertical="center"/>
    </xf>
    <xf numFmtId="168" fontId="16" fillId="11" borderId="14" xfId="0" applyNumberFormat="1" applyFont="1" applyFill="1" applyBorder="1" applyAlignment="1">
      <alignment horizontal="center" vertical="center"/>
    </xf>
    <xf numFmtId="168" fontId="16" fillId="11" borderId="15" xfId="0" applyNumberFormat="1" applyFont="1" applyFill="1" applyBorder="1" applyAlignment="1">
      <alignment horizontal="center" vertical="center"/>
    </xf>
    <xf numFmtId="168" fontId="16" fillId="11" borderId="16" xfId="0" applyNumberFormat="1" applyFont="1" applyFill="1" applyBorder="1" applyAlignment="1">
      <alignment horizontal="center" vertical="center"/>
    </xf>
    <xf numFmtId="1" fontId="29" fillId="18" borderId="14" xfId="0" applyNumberFormat="1" applyFont="1" applyFill="1" applyBorder="1" applyAlignment="1">
      <alignment horizontal="center" vertical="center"/>
    </xf>
    <xf numFmtId="1" fontId="29" fillId="18" borderId="15" xfId="0" applyNumberFormat="1" applyFont="1" applyFill="1" applyBorder="1" applyAlignment="1">
      <alignment horizontal="center" vertical="center"/>
    </xf>
    <xf numFmtId="1" fontId="29" fillId="18" borderId="16" xfId="0" applyNumberFormat="1" applyFont="1" applyFill="1" applyBorder="1" applyAlignment="1">
      <alignment horizontal="center" vertical="center"/>
    </xf>
    <xf numFmtId="1" fontId="44" fillId="18" borderId="14" xfId="0" applyNumberFormat="1" applyFont="1" applyFill="1" applyBorder="1" applyAlignment="1">
      <alignment horizontal="center" vertical="center"/>
    </xf>
    <xf numFmtId="1" fontId="44" fillId="18" borderId="16" xfId="0" applyNumberFormat="1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1" fontId="48" fillId="5" borderId="14" xfId="0" applyNumberFormat="1" applyFont="1" applyFill="1" applyBorder="1" applyAlignment="1">
      <alignment horizontal="center" vertical="center"/>
    </xf>
    <xf numFmtId="1" fontId="48" fillId="5" borderId="16" xfId="0" applyNumberFormat="1" applyFont="1" applyFill="1" applyBorder="1" applyAlignment="1">
      <alignment horizontal="center" vertical="center"/>
    </xf>
    <xf numFmtId="1" fontId="48" fillId="11" borderId="14" xfId="0" applyNumberFormat="1" applyFont="1" applyFill="1" applyBorder="1" applyAlignment="1">
      <alignment horizontal="center" vertical="center"/>
    </xf>
    <xf numFmtId="1" fontId="48" fillId="11" borderId="16" xfId="0" applyNumberFormat="1" applyFont="1" applyFill="1" applyBorder="1" applyAlignment="1">
      <alignment horizontal="center" vertical="center"/>
    </xf>
  </cellXfs>
  <cellStyles count="3">
    <cellStyle name="Hyperlink" xfId="2"/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www.wps.cn/officeDocument/2020/cellImage" Target="NUL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180118</xdr:colOff>
      <xdr:row>63</xdr:row>
      <xdr:rowOff>163681</xdr:rowOff>
    </xdr:from>
    <xdr:to>
      <xdr:col>40</xdr:col>
      <xdr:colOff>180118</xdr:colOff>
      <xdr:row>63</xdr:row>
      <xdr:rowOff>163681</xdr:rowOff>
    </xdr:to>
    <xdr:cxnSp macro="">
      <xdr:nvCxnSpPr>
        <xdr:cNvPr id="2" name="line"/>
        <xdr:cNvCxnSpPr/>
      </xdr:nvCxnSpPr>
      <xdr:spPr>
        <a:xfrm>
          <a:off x="9404007" y="2562817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  <a:tailEnd type="triangl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40</xdr:col>
      <xdr:colOff>288719</xdr:colOff>
      <xdr:row>63</xdr:row>
      <xdr:rowOff>163681</xdr:rowOff>
    </xdr:from>
    <xdr:to>
      <xdr:col>40</xdr:col>
      <xdr:colOff>288719</xdr:colOff>
      <xdr:row>63</xdr:row>
      <xdr:rowOff>163681</xdr:rowOff>
    </xdr:to>
    <xdr:cxnSp macro="">
      <xdr:nvCxnSpPr>
        <xdr:cNvPr id="3" name="line"/>
        <xdr:cNvCxnSpPr/>
      </xdr:nvCxnSpPr>
      <xdr:spPr>
        <a:xfrm>
          <a:off x="9513415" y="25634608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  <a:tailEnd type="triangl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40</xdr:col>
      <xdr:colOff>410565</xdr:colOff>
      <xdr:row>63</xdr:row>
      <xdr:rowOff>189800</xdr:rowOff>
    </xdr:from>
    <xdr:to>
      <xdr:col>40</xdr:col>
      <xdr:colOff>410565</xdr:colOff>
      <xdr:row>63</xdr:row>
      <xdr:rowOff>189800</xdr:rowOff>
    </xdr:to>
    <xdr:cxnSp macro="">
      <xdr:nvCxnSpPr>
        <xdr:cNvPr id="4" name="line"/>
        <xdr:cNvCxnSpPr/>
      </xdr:nvCxnSpPr>
      <xdr:spPr>
        <a:xfrm>
          <a:off x="9635696" y="2566035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  <a:tailEnd type="triangl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40</xdr:col>
      <xdr:colOff>507246</xdr:colOff>
      <xdr:row>63</xdr:row>
      <xdr:rowOff>125372</xdr:rowOff>
    </xdr:from>
    <xdr:to>
      <xdr:col>40</xdr:col>
      <xdr:colOff>507246</xdr:colOff>
      <xdr:row>63</xdr:row>
      <xdr:rowOff>125372</xdr:rowOff>
    </xdr:to>
    <xdr:cxnSp macro="">
      <xdr:nvCxnSpPr>
        <xdr:cNvPr id="5" name="line"/>
        <xdr:cNvCxnSpPr/>
      </xdr:nvCxnSpPr>
      <xdr:spPr>
        <a:xfrm>
          <a:off x="9732233" y="25595992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  <a:tailEnd type="triangl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41</xdr:col>
      <xdr:colOff>495209</xdr:colOff>
      <xdr:row>63</xdr:row>
      <xdr:rowOff>240297</xdr:rowOff>
    </xdr:from>
    <xdr:to>
      <xdr:col>41</xdr:col>
      <xdr:colOff>495209</xdr:colOff>
      <xdr:row>63</xdr:row>
      <xdr:rowOff>240297</xdr:rowOff>
    </xdr:to>
    <xdr:cxnSp macro="">
      <xdr:nvCxnSpPr>
        <xdr:cNvPr id="6" name="line"/>
        <xdr:cNvCxnSpPr/>
      </xdr:nvCxnSpPr>
      <xdr:spPr>
        <a:xfrm>
          <a:off x="9719361" y="25705400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  <a:tailEnd type="triangl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40</xdr:col>
      <xdr:colOff>450297</xdr:colOff>
      <xdr:row>63</xdr:row>
      <xdr:rowOff>74875</xdr:rowOff>
    </xdr:from>
    <xdr:to>
      <xdr:col>40</xdr:col>
      <xdr:colOff>450297</xdr:colOff>
      <xdr:row>63</xdr:row>
      <xdr:rowOff>74875</xdr:rowOff>
    </xdr:to>
    <xdr:cxnSp macro="">
      <xdr:nvCxnSpPr>
        <xdr:cNvPr id="7" name="line"/>
        <xdr:cNvCxnSpPr/>
      </xdr:nvCxnSpPr>
      <xdr:spPr>
        <a:xfrm>
          <a:off x="9674311" y="25544506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  <a:tailEnd type="triangl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40</xdr:col>
      <xdr:colOff>173496</xdr:colOff>
      <xdr:row>63</xdr:row>
      <xdr:rowOff>62686</xdr:rowOff>
    </xdr:from>
    <xdr:to>
      <xdr:col>40</xdr:col>
      <xdr:colOff>173496</xdr:colOff>
      <xdr:row>63</xdr:row>
      <xdr:rowOff>62686</xdr:rowOff>
    </xdr:to>
    <xdr:cxnSp macro="">
      <xdr:nvCxnSpPr>
        <xdr:cNvPr id="8" name="line"/>
        <xdr:cNvCxnSpPr/>
      </xdr:nvCxnSpPr>
      <xdr:spPr>
        <a:xfrm>
          <a:off x="9397571" y="25531634"/>
          <a:ext cx="0" cy="0"/>
        </a:xfrm>
        <a:prstGeom prst="line">
          <a:avLst/>
        </a:prstGeom>
        <a:noFill/>
        <a:ln w="9525" cap="flat" cmpd="sng">
          <a:solidFill>
            <a:srgbClr val="000000"/>
          </a:solidFill>
          <a:prstDash val="solid"/>
          <a:round/>
          <a:tailEnd type="triangl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CX1048532"/>
  <sheetViews>
    <sheetView tabSelected="1" defaultGridColor="0" topLeftCell="I4" colorId="12" zoomScale="70" zoomScaleNormal="70" workbookViewId="0">
      <selection activeCell="S20" sqref="S20"/>
    </sheetView>
  </sheetViews>
  <sheetFormatPr defaultColWidth="10" defaultRowHeight="12.75" x14ac:dyDescent="0.2"/>
  <cols>
    <col min="1" max="1" width="16.7109375" customWidth="1"/>
    <col min="2" max="2" width="23" bestFit="1" customWidth="1"/>
    <col min="3" max="3" width="15" customWidth="1"/>
    <col min="4" max="4" width="23.42578125" bestFit="1" customWidth="1"/>
    <col min="5" max="5" width="13.5703125" customWidth="1"/>
    <col min="6" max="6" width="20.7109375" bestFit="1" customWidth="1"/>
    <col min="7" max="7" width="14.28515625" customWidth="1"/>
    <col min="8" max="8" width="10.5703125" customWidth="1"/>
    <col min="9" max="9" width="12.85546875" customWidth="1"/>
    <col min="10" max="10" width="10" customWidth="1"/>
    <col min="11" max="11" width="19.140625" customWidth="1"/>
    <col min="12" max="12" width="8.28515625" customWidth="1"/>
    <col min="13" max="13" width="100" customWidth="1"/>
    <col min="14" max="14" width="15.28515625" customWidth="1"/>
    <col min="15" max="15" width="14.85546875" bestFit="1" customWidth="1"/>
    <col min="16" max="16" width="10.5703125" customWidth="1"/>
    <col min="17" max="17" width="12.28515625" customWidth="1"/>
    <col min="18" max="18" width="10.28515625" customWidth="1"/>
    <col min="19" max="19" width="19.140625" customWidth="1"/>
    <col min="20" max="20" width="12.42578125" customWidth="1"/>
    <col min="21" max="21" width="18.7109375" customWidth="1"/>
    <col min="22" max="22" width="8.85546875" customWidth="1"/>
    <col min="23" max="23" width="8.5703125" customWidth="1"/>
    <col min="24" max="24" width="8.85546875" customWidth="1"/>
    <col min="25" max="25" width="9" customWidth="1"/>
    <col min="26" max="26" width="8.7109375" customWidth="1"/>
    <col min="27" max="27" width="9.5703125" customWidth="1"/>
    <col min="28" max="28" width="10.42578125" customWidth="1"/>
    <col min="29" max="29" width="8.85546875" customWidth="1"/>
    <col min="30" max="30" width="10" customWidth="1"/>
    <col min="31" max="31" width="9.28515625" customWidth="1"/>
    <col min="32" max="32" width="8.140625" customWidth="1"/>
    <col min="33" max="33" width="9.140625" customWidth="1"/>
    <col min="34" max="34" width="8.5703125" customWidth="1"/>
    <col min="36" max="36" width="13" customWidth="1"/>
    <col min="37" max="37" width="12.140625" bestFit="1" customWidth="1"/>
    <col min="38" max="38" width="13.140625" bestFit="1" customWidth="1"/>
    <col min="39" max="39" width="16.85546875" customWidth="1"/>
    <col min="40" max="40" width="16.42578125" customWidth="1"/>
    <col min="41" max="41" width="18.5703125" customWidth="1"/>
    <col min="42" max="42" width="15" customWidth="1"/>
    <col min="43" max="43" width="17.5703125" bestFit="1" customWidth="1"/>
    <col min="44" max="44" width="13.85546875" bestFit="1" customWidth="1"/>
    <col min="45" max="45" width="10" bestFit="1" customWidth="1"/>
    <col min="46" max="46" width="11.7109375" customWidth="1"/>
    <col min="47" max="48" width="10.140625" customWidth="1"/>
    <col min="49" max="49" width="9.28515625" bestFit="1" customWidth="1"/>
    <col min="50" max="50" width="10" customWidth="1"/>
    <col min="51" max="51" width="9.7109375" customWidth="1"/>
    <col min="52" max="52" width="10" customWidth="1"/>
    <col min="53" max="53" width="9.5703125" customWidth="1"/>
    <col min="54" max="54" width="7.5703125" customWidth="1"/>
    <col min="55" max="55" width="7.140625" customWidth="1"/>
    <col min="56" max="56" width="6.28515625" customWidth="1"/>
    <col min="57" max="57" width="8.5703125" customWidth="1"/>
    <col min="58" max="58" width="16.140625" bestFit="1" customWidth="1"/>
    <col min="59" max="59" width="15.85546875" bestFit="1" customWidth="1"/>
    <col min="60" max="60" width="13.85546875" bestFit="1" customWidth="1"/>
    <col min="61" max="61" width="13" bestFit="1" customWidth="1"/>
    <col min="64" max="64" width="9.28515625" bestFit="1" customWidth="1"/>
    <col min="78" max="78" width="6.42578125" customWidth="1"/>
    <col min="79" max="79" width="11.5703125" customWidth="1"/>
    <col min="83" max="83" width="9.28515625" bestFit="1" customWidth="1"/>
    <col min="84" max="84" width="10.42578125" customWidth="1"/>
    <col min="85" max="85" width="12.5703125" customWidth="1"/>
    <col min="86" max="86" width="11.140625" customWidth="1"/>
    <col min="87" max="87" width="9.85546875" customWidth="1"/>
    <col min="88" max="89" width="9.28515625" bestFit="1" customWidth="1"/>
    <col min="91" max="91" width="16.140625" bestFit="1" customWidth="1"/>
    <col min="92" max="92" width="15.85546875" bestFit="1" customWidth="1"/>
    <col min="93" max="94" width="13.85546875" bestFit="1" customWidth="1"/>
    <col min="97" max="97" width="9.28515625" bestFit="1" customWidth="1"/>
  </cols>
  <sheetData>
    <row r="1" spans="1:102" ht="35.1" customHeight="1" thickTop="1" thickBot="1" x14ac:dyDescent="0.4">
      <c r="A1" s="149">
        <f ca="1">TODAY()</f>
        <v>46217</v>
      </c>
      <c r="B1" s="150"/>
      <c r="C1" s="151"/>
      <c r="D1" s="24" t="s">
        <v>34</v>
      </c>
      <c r="E1" s="25"/>
      <c r="F1" s="25"/>
      <c r="G1" s="25"/>
      <c r="H1" s="25"/>
      <c r="I1" s="25"/>
      <c r="J1" s="26"/>
      <c r="K1" s="27"/>
      <c r="L1" s="27"/>
      <c r="M1" s="27"/>
      <c r="O1" s="28"/>
      <c r="W1" s="13"/>
      <c r="X1" s="29"/>
      <c r="Y1" s="172"/>
      <c r="Z1" s="172"/>
      <c r="AA1" s="30"/>
      <c r="AB1" s="148"/>
      <c r="AC1" s="148"/>
      <c r="AD1" s="148"/>
      <c r="AE1" s="31"/>
      <c r="AF1" s="5"/>
      <c r="AG1" s="5"/>
      <c r="AH1" s="5"/>
      <c r="BA1" s="147"/>
      <c r="BB1" s="147"/>
      <c r="BD1" s="147"/>
      <c r="BE1" s="147"/>
      <c r="BF1" s="147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</row>
    <row r="2" spans="1:102" ht="35.1" customHeight="1" thickTop="1" thickBot="1" x14ac:dyDescent="0.3">
      <c r="A2" s="33" t="s">
        <v>4</v>
      </c>
      <c r="B2" s="145" t="s">
        <v>43</v>
      </c>
      <c r="C2" s="34" t="s">
        <v>1</v>
      </c>
      <c r="D2" s="146" t="s">
        <v>44</v>
      </c>
      <c r="E2" s="34" t="s">
        <v>1</v>
      </c>
      <c r="F2" s="153"/>
      <c r="G2" s="154"/>
      <c r="H2" s="154"/>
      <c r="I2" s="154"/>
      <c r="J2" s="155"/>
      <c r="K2" s="35"/>
      <c r="L2" s="27"/>
      <c r="M2" s="27"/>
      <c r="O2" s="28"/>
      <c r="X2" s="36"/>
      <c r="Y2" s="37"/>
      <c r="Z2" s="37"/>
      <c r="AA2" s="37"/>
      <c r="AB2" s="37"/>
      <c r="AC2" s="37"/>
      <c r="AD2" s="38"/>
      <c r="AE2" s="39"/>
      <c r="AF2" s="40"/>
      <c r="AG2" s="178"/>
      <c r="AH2" s="178"/>
      <c r="BE2" s="147"/>
      <c r="BF2" s="147"/>
      <c r="BG2" s="147"/>
      <c r="BH2" s="147"/>
      <c r="BI2" s="147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</row>
    <row r="3" spans="1:102" ht="35.1" customHeight="1" thickTop="1" x14ac:dyDescent="0.25">
      <c r="A3" s="41">
        <v>7</v>
      </c>
      <c r="B3" s="42">
        <v>245</v>
      </c>
      <c r="C3" s="43">
        <f t="shared" ref="C3:C10" si="0">SUM(B3:B3)</f>
        <v>245</v>
      </c>
      <c r="D3" s="42">
        <v>169</v>
      </c>
      <c r="E3" s="44">
        <f>SUM(C3:D3)</f>
        <v>414</v>
      </c>
      <c r="F3" s="117"/>
      <c r="G3" s="118"/>
      <c r="H3" s="118"/>
      <c r="I3" s="118"/>
      <c r="J3" s="119"/>
      <c r="K3" s="35" t="s">
        <v>2</v>
      </c>
      <c r="L3" s="27"/>
      <c r="M3" s="27"/>
      <c r="O3" s="28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 t="s">
        <v>2</v>
      </c>
      <c r="AC3" s="37"/>
      <c r="AD3" s="47"/>
      <c r="AE3" s="39"/>
      <c r="AF3" s="40"/>
      <c r="AG3" s="178"/>
      <c r="AH3" s="178"/>
      <c r="BH3" s="147"/>
      <c r="BI3" s="147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</row>
    <row r="4" spans="1:102" ht="35.1" customHeight="1" x14ac:dyDescent="0.25">
      <c r="A4" s="48">
        <v>8</v>
      </c>
      <c r="B4" s="42">
        <v>250</v>
      </c>
      <c r="C4" s="43">
        <f t="shared" si="0"/>
        <v>250</v>
      </c>
      <c r="D4" s="42">
        <v>163</v>
      </c>
      <c r="E4" s="44">
        <f>SUM(C4:D4)</f>
        <v>413</v>
      </c>
      <c r="F4" s="120"/>
      <c r="G4" s="121"/>
      <c r="H4" s="121"/>
      <c r="I4" s="121"/>
      <c r="J4" s="122"/>
      <c r="K4" s="27"/>
      <c r="L4" s="27"/>
      <c r="M4" s="27"/>
      <c r="O4" s="28"/>
      <c r="P4" s="1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51"/>
      <c r="AE4" s="4"/>
      <c r="AF4" s="4"/>
      <c r="AG4" s="4"/>
      <c r="AH4" s="4"/>
      <c r="BH4" s="147"/>
      <c r="BI4" s="147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</row>
    <row r="5" spans="1:102" ht="35.1" customHeight="1" x14ac:dyDescent="0.25">
      <c r="A5" s="48">
        <v>9</v>
      </c>
      <c r="B5" s="42">
        <v>255</v>
      </c>
      <c r="C5" s="43">
        <f t="shared" si="0"/>
        <v>255</v>
      </c>
      <c r="D5" s="42">
        <v>165</v>
      </c>
      <c r="E5" s="44">
        <f t="shared" ref="E5:E12" si="1">SUM(C5:D5)</f>
        <v>420</v>
      </c>
      <c r="F5" s="120"/>
      <c r="G5" s="121"/>
      <c r="H5" s="121"/>
      <c r="I5" s="121"/>
      <c r="J5" s="122"/>
      <c r="K5" s="35" t="s">
        <v>2</v>
      </c>
      <c r="L5" s="27"/>
      <c r="M5" s="27"/>
      <c r="O5" s="28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51"/>
      <c r="AE5" s="4"/>
      <c r="AF5" s="4"/>
      <c r="AG5" s="4"/>
      <c r="AH5" s="4"/>
      <c r="BH5" s="147"/>
      <c r="BI5" s="147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</row>
    <row r="6" spans="1:102" ht="35.1" customHeight="1" thickBot="1" x14ac:dyDescent="0.4">
      <c r="A6" s="53">
        <v>10</v>
      </c>
      <c r="B6" s="42">
        <v>255</v>
      </c>
      <c r="C6" s="43">
        <f t="shared" si="0"/>
        <v>255</v>
      </c>
      <c r="D6" s="42">
        <v>165</v>
      </c>
      <c r="E6" s="44">
        <f t="shared" si="1"/>
        <v>420</v>
      </c>
      <c r="F6" s="120"/>
      <c r="G6" s="121"/>
      <c r="H6" s="121"/>
      <c r="I6" s="121"/>
      <c r="J6" s="122"/>
      <c r="K6" s="27" t="s">
        <v>2</v>
      </c>
      <c r="L6" s="27"/>
      <c r="M6" s="27"/>
      <c r="N6" s="54"/>
      <c r="O6" s="28"/>
      <c r="P6" s="55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51"/>
      <c r="AE6" s="4"/>
      <c r="AF6" s="4"/>
      <c r="AG6" s="4"/>
      <c r="AH6" s="4"/>
      <c r="BH6" s="147"/>
      <c r="BI6" s="147"/>
      <c r="BJ6" s="147"/>
      <c r="BK6" s="147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</row>
    <row r="7" spans="1:102" ht="35.1" customHeight="1" thickTop="1" thickBot="1" x14ac:dyDescent="0.45">
      <c r="A7" s="57">
        <v>11</v>
      </c>
      <c r="B7" s="42">
        <v>255</v>
      </c>
      <c r="C7" s="43">
        <f t="shared" si="0"/>
        <v>255</v>
      </c>
      <c r="D7" s="42">
        <v>163</v>
      </c>
      <c r="E7" s="44">
        <f t="shared" si="1"/>
        <v>418</v>
      </c>
      <c r="F7" s="120"/>
      <c r="G7" s="121"/>
      <c r="H7" s="121"/>
      <c r="I7" s="121"/>
      <c r="J7" s="122"/>
      <c r="K7" s="58">
        <f>I24</f>
        <v>33099.770791652176</v>
      </c>
      <c r="L7" s="173" t="s">
        <v>24</v>
      </c>
      <c r="M7" s="174"/>
      <c r="N7" s="59"/>
      <c r="O7" s="28"/>
      <c r="P7" s="55"/>
      <c r="Q7" s="56"/>
      <c r="S7" s="37"/>
      <c r="T7" s="37"/>
      <c r="U7" s="37"/>
      <c r="V7" s="37"/>
      <c r="W7" s="37"/>
      <c r="X7" s="17"/>
      <c r="Y7" s="37"/>
      <c r="Z7" s="37"/>
      <c r="AA7" s="37"/>
      <c r="AB7" s="37"/>
      <c r="AC7" s="37"/>
      <c r="AD7" s="51"/>
      <c r="AE7" s="4"/>
      <c r="AF7" s="4"/>
      <c r="AG7" s="4"/>
      <c r="AH7" s="4"/>
      <c r="AR7" s="147"/>
      <c r="AS7" s="147"/>
      <c r="BA7" s="115"/>
      <c r="BH7" s="147"/>
      <c r="BI7" s="147"/>
      <c r="BJ7" s="147"/>
      <c r="BK7" s="147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</row>
    <row r="8" spans="1:102" ht="35.1" customHeight="1" thickTop="1" thickBot="1" x14ac:dyDescent="0.4">
      <c r="A8" s="48" t="s">
        <v>5</v>
      </c>
      <c r="B8" s="42">
        <v>255</v>
      </c>
      <c r="C8" s="43">
        <f t="shared" si="0"/>
        <v>255</v>
      </c>
      <c r="D8" s="42">
        <v>165</v>
      </c>
      <c r="E8" s="44">
        <f t="shared" si="1"/>
        <v>420</v>
      </c>
      <c r="F8" s="120"/>
      <c r="G8" s="121"/>
      <c r="H8" s="121"/>
      <c r="I8" s="121"/>
      <c r="J8" s="122"/>
      <c r="K8" s="60">
        <f>I25</f>
        <v>24156.201123999999</v>
      </c>
      <c r="L8" s="173" t="s">
        <v>25</v>
      </c>
      <c r="M8" s="174"/>
      <c r="N8" s="59"/>
      <c r="O8" s="28"/>
      <c r="P8" s="55"/>
      <c r="Q8" s="56"/>
      <c r="R8" s="61"/>
      <c r="S8" s="186" t="s">
        <v>36</v>
      </c>
      <c r="T8" s="187"/>
      <c r="U8" s="187"/>
      <c r="V8" s="187"/>
      <c r="W8" s="188"/>
      <c r="X8" s="17"/>
      <c r="Y8" s="37"/>
      <c r="Z8" s="37"/>
      <c r="AA8" s="37"/>
      <c r="AB8" s="37"/>
      <c r="AC8" s="37"/>
      <c r="AD8" s="51"/>
      <c r="AE8" s="4"/>
      <c r="AF8" s="4"/>
      <c r="AG8" s="4"/>
      <c r="AH8" s="4"/>
      <c r="BH8" s="147"/>
      <c r="BI8" s="147"/>
      <c r="BJ8" s="147"/>
      <c r="BK8" s="147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</row>
    <row r="9" spans="1:102" ht="35.1" customHeight="1" thickTop="1" thickBot="1" x14ac:dyDescent="0.4">
      <c r="A9" s="48">
        <v>1</v>
      </c>
      <c r="B9" s="42">
        <v>255</v>
      </c>
      <c r="C9" s="43">
        <f t="shared" si="0"/>
        <v>255</v>
      </c>
      <c r="D9" s="42">
        <v>165</v>
      </c>
      <c r="E9" s="44">
        <f t="shared" si="1"/>
        <v>420</v>
      </c>
      <c r="F9" s="120"/>
      <c r="G9" s="121"/>
      <c r="H9" s="121"/>
      <c r="I9" s="121"/>
      <c r="J9" s="122"/>
      <c r="K9" s="60">
        <f>K7+K8</f>
        <v>57255.971915652175</v>
      </c>
      <c r="L9" s="156" t="s">
        <v>42</v>
      </c>
      <c r="M9" s="157"/>
      <c r="N9" s="63"/>
      <c r="O9" s="28"/>
      <c r="P9" s="55"/>
      <c r="Q9" s="56"/>
      <c r="S9" s="126" t="s">
        <v>2</v>
      </c>
      <c r="T9" s="127" t="s">
        <v>15</v>
      </c>
      <c r="U9" s="128" t="s">
        <v>10</v>
      </c>
      <c r="V9" s="129" t="s">
        <v>16</v>
      </c>
      <c r="W9" s="130"/>
      <c r="X9" s="17"/>
      <c r="Y9" s="37"/>
      <c r="Z9" s="37"/>
      <c r="AA9" s="37"/>
      <c r="AB9" s="37"/>
      <c r="AC9" s="64"/>
      <c r="AD9" s="65"/>
      <c r="AE9" s="4"/>
      <c r="AF9" s="4"/>
      <c r="AG9" s="4"/>
      <c r="AH9" s="4"/>
      <c r="BH9" s="147"/>
      <c r="BI9" s="147"/>
      <c r="BJ9" s="147"/>
      <c r="BK9" s="147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</row>
    <row r="10" spans="1:102" ht="35.1" customHeight="1" thickTop="1" x14ac:dyDescent="0.25">
      <c r="A10" s="48">
        <v>2</v>
      </c>
      <c r="B10" s="42">
        <v>255</v>
      </c>
      <c r="C10" s="43">
        <f t="shared" si="0"/>
        <v>255</v>
      </c>
      <c r="D10" s="42">
        <v>165</v>
      </c>
      <c r="E10" s="44">
        <f t="shared" si="1"/>
        <v>420</v>
      </c>
      <c r="F10" s="120"/>
      <c r="G10" s="121"/>
      <c r="H10" s="121"/>
      <c r="I10" s="121"/>
      <c r="J10" s="122"/>
      <c r="K10" s="35"/>
      <c r="L10" s="27"/>
      <c r="M10" s="27"/>
      <c r="N10" s="54"/>
      <c r="O10" s="28"/>
      <c r="S10" s="131" t="s">
        <v>17</v>
      </c>
      <c r="T10" s="132">
        <v>0</v>
      </c>
      <c r="U10" s="133">
        <f>SUM(T10)*19.25</f>
        <v>0</v>
      </c>
      <c r="V10" s="134">
        <f>SUM(U10)*6.292316</f>
        <v>0</v>
      </c>
      <c r="W10" s="135">
        <v>19.25</v>
      </c>
      <c r="X10" s="20"/>
      <c r="Y10" s="37"/>
      <c r="Z10" s="37"/>
      <c r="AA10" s="37"/>
      <c r="AB10" s="37"/>
      <c r="AC10" s="64"/>
      <c r="AD10" s="67"/>
      <c r="AE10" s="4"/>
      <c r="AF10" s="68"/>
      <c r="AG10" s="68"/>
      <c r="AH10" s="68"/>
      <c r="BH10" s="147"/>
      <c r="BI10" s="147"/>
      <c r="BJ10" s="147"/>
      <c r="BK10" s="147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</row>
    <row r="11" spans="1:102" ht="35.1" customHeight="1" thickBot="1" x14ac:dyDescent="0.3">
      <c r="A11" s="48">
        <v>3</v>
      </c>
      <c r="B11" s="42">
        <v>255</v>
      </c>
      <c r="C11" s="43">
        <f t="shared" ref="C11:C21" si="2">SUM(B11:B11)</f>
        <v>255</v>
      </c>
      <c r="D11" s="42">
        <v>165</v>
      </c>
      <c r="E11" s="44">
        <f t="shared" si="1"/>
        <v>420</v>
      </c>
      <c r="F11" s="123"/>
      <c r="G11" s="124"/>
      <c r="H11" s="124"/>
      <c r="I11" s="124"/>
      <c r="J11" s="125"/>
      <c r="K11" s="27"/>
      <c r="L11" s="27"/>
      <c r="M11" s="27"/>
      <c r="N11" s="54"/>
      <c r="O11" s="28"/>
      <c r="Q11" s="13" t="s">
        <v>2</v>
      </c>
      <c r="R11" s="13"/>
      <c r="S11" s="136" t="s">
        <v>18</v>
      </c>
      <c r="T11" s="132">
        <v>0</v>
      </c>
      <c r="U11" s="133">
        <f t="shared" ref="U11:U18" si="3">SUM(T11)*19.25</f>
        <v>0</v>
      </c>
      <c r="V11" s="134">
        <f t="shared" ref="V11:V20" si="4">SUM(U11)*6.292316</f>
        <v>0</v>
      </c>
      <c r="W11" s="135">
        <v>19.25</v>
      </c>
      <c r="X11" s="20"/>
      <c r="Y11" s="37"/>
      <c r="Z11" s="37"/>
      <c r="AA11" s="37"/>
      <c r="AB11" s="37"/>
      <c r="AC11" s="64"/>
      <c r="AD11" s="51"/>
      <c r="AE11" s="9"/>
      <c r="AF11" s="68"/>
      <c r="AG11" s="68"/>
      <c r="AH11" s="68"/>
      <c r="BH11" s="147"/>
      <c r="BI11" s="147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</row>
    <row r="12" spans="1:102" ht="35.1" customHeight="1" thickTop="1" thickBot="1" x14ac:dyDescent="0.3">
      <c r="A12" s="48">
        <v>4</v>
      </c>
      <c r="B12" s="42">
        <v>255</v>
      </c>
      <c r="C12" s="43">
        <f>SUM(B12:B12)</f>
        <v>255</v>
      </c>
      <c r="D12" s="42">
        <v>165</v>
      </c>
      <c r="E12" s="44">
        <f t="shared" si="1"/>
        <v>420</v>
      </c>
      <c r="F12" s="170" t="s">
        <v>39</v>
      </c>
      <c r="G12" s="171"/>
      <c r="H12" s="69">
        <v>844</v>
      </c>
      <c r="I12" s="179">
        <f>H12</f>
        <v>844</v>
      </c>
      <c r="J12" s="179"/>
      <c r="K12" s="35"/>
      <c r="L12" s="27"/>
      <c r="M12" s="27"/>
      <c r="N12" s="54"/>
      <c r="O12" s="28"/>
      <c r="Q12" s="13"/>
      <c r="R12" s="37"/>
      <c r="S12" s="136" t="s">
        <v>30</v>
      </c>
      <c r="T12" s="132">
        <v>0</v>
      </c>
      <c r="U12" s="133">
        <f t="shared" si="3"/>
        <v>0</v>
      </c>
      <c r="V12" s="134">
        <f t="shared" si="4"/>
        <v>0</v>
      </c>
      <c r="W12" s="135">
        <v>19.25</v>
      </c>
      <c r="X12" s="20"/>
      <c r="Y12" s="37"/>
      <c r="Z12" s="37"/>
      <c r="AA12" s="37"/>
      <c r="AB12" s="37"/>
      <c r="AC12" s="64"/>
      <c r="AD12" s="70"/>
      <c r="AE12" s="9"/>
      <c r="AF12" s="68"/>
      <c r="AG12" s="68"/>
      <c r="AH12" s="68"/>
      <c r="BE12" s="147"/>
      <c r="BF12" s="147"/>
      <c r="BH12" s="147"/>
      <c r="BI12" s="147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</row>
    <row r="13" spans="1:102" ht="35.1" customHeight="1" thickTop="1" thickBot="1" x14ac:dyDescent="0.3">
      <c r="A13" s="48">
        <v>5</v>
      </c>
      <c r="B13" s="42">
        <v>255</v>
      </c>
      <c r="C13" s="43">
        <f t="shared" si="2"/>
        <v>255</v>
      </c>
      <c r="D13" s="42">
        <v>165</v>
      </c>
      <c r="E13" s="44">
        <f>SUM(C13:D13)</f>
        <v>420</v>
      </c>
      <c r="F13" s="164" t="s">
        <v>1</v>
      </c>
      <c r="G13" s="165"/>
      <c r="H13" s="166"/>
      <c r="I13" s="181">
        <f>SUM(I4:J12)</f>
        <v>844</v>
      </c>
      <c r="J13" s="182"/>
      <c r="K13" s="71"/>
      <c r="L13" s="27"/>
      <c r="M13" s="27" t="s">
        <v>35</v>
      </c>
      <c r="N13" s="54"/>
      <c r="O13" s="28"/>
      <c r="Q13" s="13"/>
      <c r="R13" t="s">
        <v>2</v>
      </c>
      <c r="S13" s="136" t="s">
        <v>31</v>
      </c>
      <c r="T13" s="132">
        <v>0</v>
      </c>
      <c r="U13" s="133">
        <f t="shared" si="3"/>
        <v>0</v>
      </c>
      <c r="V13" s="134">
        <f t="shared" si="4"/>
        <v>0</v>
      </c>
      <c r="W13" s="135">
        <v>19.25</v>
      </c>
      <c r="X13" s="20"/>
      <c r="Y13" s="37"/>
      <c r="Z13" s="37"/>
      <c r="AA13" s="37"/>
      <c r="AB13" s="37"/>
      <c r="AC13" s="64"/>
      <c r="AD13" s="72"/>
      <c r="AE13" s="72"/>
      <c r="AF13" s="6"/>
      <c r="AG13" s="6"/>
      <c r="AH13" s="6"/>
      <c r="BE13" s="147"/>
      <c r="BF13" s="147"/>
      <c r="BH13" s="147"/>
      <c r="BI13" s="147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</row>
    <row r="14" spans="1:102" ht="35.1" customHeight="1" thickTop="1" thickBot="1" x14ac:dyDescent="0.3">
      <c r="A14" s="48">
        <v>6</v>
      </c>
      <c r="B14" s="42">
        <v>255</v>
      </c>
      <c r="C14" s="43">
        <f>SUM(B14:B14)</f>
        <v>255</v>
      </c>
      <c r="D14" s="42">
        <v>165</v>
      </c>
      <c r="E14" s="44">
        <f>SUM(C14:D14)</f>
        <v>420</v>
      </c>
      <c r="F14" s="73"/>
      <c r="G14" s="45"/>
      <c r="H14" s="46"/>
      <c r="I14" s="180"/>
      <c r="J14" s="180"/>
      <c r="K14" s="35"/>
      <c r="L14" s="27"/>
      <c r="M14" s="27"/>
      <c r="N14" s="54"/>
      <c r="O14" s="28"/>
      <c r="Q14" s="13"/>
      <c r="R14" t="s">
        <v>2</v>
      </c>
      <c r="S14" s="136" t="s">
        <v>19</v>
      </c>
      <c r="T14" s="132">
        <v>0</v>
      </c>
      <c r="U14" s="133">
        <f t="shared" si="3"/>
        <v>0</v>
      </c>
      <c r="V14" s="134">
        <f t="shared" si="4"/>
        <v>0</v>
      </c>
      <c r="W14" s="137">
        <v>8.9</v>
      </c>
      <c r="X14" s="20"/>
      <c r="Y14" s="37"/>
      <c r="Z14" s="37"/>
      <c r="AA14" s="37"/>
      <c r="AB14" s="37"/>
      <c r="AC14" s="64"/>
      <c r="AD14" s="160"/>
      <c r="AE14" s="160"/>
      <c r="AF14" s="8"/>
      <c r="AG14" s="8"/>
      <c r="AH14" s="8"/>
      <c r="BE14" s="147"/>
      <c r="BF14" s="147"/>
      <c r="BH14" s="147"/>
      <c r="BI14" s="147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</row>
    <row r="15" spans="1:102" ht="35.1" customHeight="1" thickTop="1" thickBot="1" x14ac:dyDescent="0.3">
      <c r="A15" s="48">
        <v>7</v>
      </c>
      <c r="B15" s="42">
        <v>255</v>
      </c>
      <c r="C15" s="43">
        <f t="shared" si="2"/>
        <v>255</v>
      </c>
      <c r="D15" s="42">
        <v>165</v>
      </c>
      <c r="E15" s="44">
        <f t="shared" ref="E15:E26" si="5">SUM(C15:D15)</f>
        <v>420</v>
      </c>
      <c r="F15" s="49"/>
      <c r="G15" s="50"/>
      <c r="H15" s="50"/>
      <c r="I15" s="179"/>
      <c r="J15" s="179"/>
      <c r="K15" s="27"/>
      <c r="L15" s="27"/>
      <c r="M15" s="27"/>
      <c r="O15" s="28"/>
      <c r="Q15" s="13" t="s">
        <v>2</v>
      </c>
      <c r="R15" t="s">
        <v>2</v>
      </c>
      <c r="S15" s="131" t="s">
        <v>20</v>
      </c>
      <c r="T15" s="132">
        <v>0</v>
      </c>
      <c r="U15" s="133">
        <f t="shared" si="3"/>
        <v>0</v>
      </c>
      <c r="V15" s="134">
        <f t="shared" si="4"/>
        <v>0</v>
      </c>
      <c r="W15" s="138">
        <v>18.600000000000001</v>
      </c>
      <c r="X15" s="20"/>
      <c r="Y15" s="37"/>
      <c r="Z15" s="37"/>
      <c r="AA15" s="37"/>
      <c r="AB15" s="37"/>
      <c r="AC15" s="64"/>
      <c r="AD15" s="51"/>
      <c r="AE15" s="4"/>
      <c r="AF15" s="4"/>
      <c r="AG15" s="4"/>
      <c r="AH15" s="4"/>
      <c r="BH15" s="147"/>
      <c r="BI15" s="147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</row>
    <row r="16" spans="1:102" ht="35.1" customHeight="1" thickTop="1" thickBot="1" x14ac:dyDescent="0.3">
      <c r="A16" s="48">
        <v>8</v>
      </c>
      <c r="B16" s="42">
        <v>255</v>
      </c>
      <c r="C16" s="43">
        <f t="shared" si="2"/>
        <v>255</v>
      </c>
      <c r="D16" s="42">
        <v>165</v>
      </c>
      <c r="E16" s="44">
        <f t="shared" si="5"/>
        <v>420</v>
      </c>
      <c r="F16" s="75" t="s">
        <v>38</v>
      </c>
      <c r="G16" s="76">
        <v>40</v>
      </c>
      <c r="H16" s="76"/>
      <c r="I16" s="179"/>
      <c r="J16" s="179"/>
      <c r="K16" s="71"/>
      <c r="L16" s="27" t="s">
        <v>29</v>
      </c>
      <c r="M16" s="13"/>
      <c r="N16" s="62"/>
      <c r="O16" s="28"/>
      <c r="Q16" s="13" t="s">
        <v>2</v>
      </c>
      <c r="R16" t="s">
        <v>2</v>
      </c>
      <c r="S16" s="131" t="s">
        <v>21</v>
      </c>
      <c r="T16" s="132">
        <v>0</v>
      </c>
      <c r="U16" s="133">
        <f t="shared" si="3"/>
        <v>0</v>
      </c>
      <c r="V16" s="134">
        <f t="shared" si="4"/>
        <v>0</v>
      </c>
      <c r="W16" s="138">
        <v>18.350000000000001</v>
      </c>
      <c r="X16" s="20"/>
      <c r="Y16" s="37"/>
      <c r="Z16" s="37"/>
      <c r="AA16" s="37"/>
      <c r="AB16" s="37"/>
      <c r="AC16" s="64"/>
      <c r="AD16" s="51"/>
      <c r="AE16" s="4"/>
      <c r="AF16" s="4"/>
      <c r="AG16" s="4"/>
      <c r="AH16" s="4"/>
      <c r="BH16" s="147"/>
      <c r="BI16" s="147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</row>
    <row r="17" spans="1:102" ht="35.1" customHeight="1" thickTop="1" thickBot="1" x14ac:dyDescent="0.3">
      <c r="A17" s="48">
        <v>9</v>
      </c>
      <c r="B17" s="42">
        <v>255</v>
      </c>
      <c r="C17" s="43">
        <f t="shared" si="2"/>
        <v>255</v>
      </c>
      <c r="D17" s="42">
        <v>165</v>
      </c>
      <c r="E17" s="44">
        <f>SUM(C17:D17)</f>
        <v>420</v>
      </c>
      <c r="F17" s="75" t="s">
        <v>37</v>
      </c>
      <c r="G17" s="76">
        <v>81</v>
      </c>
      <c r="H17" s="76"/>
      <c r="I17" s="179">
        <f>(G17+G16)</f>
        <v>121</v>
      </c>
      <c r="J17" s="179"/>
      <c r="K17" s="35"/>
      <c r="L17" s="27"/>
      <c r="M17" s="13"/>
      <c r="N17" s="13"/>
      <c r="O17" s="28"/>
      <c r="Q17" s="13" t="s">
        <v>2</v>
      </c>
      <c r="S17" s="131" t="s">
        <v>22</v>
      </c>
      <c r="T17" s="132">
        <v>0</v>
      </c>
      <c r="U17" s="133">
        <f t="shared" si="3"/>
        <v>0</v>
      </c>
      <c r="V17" s="134">
        <f t="shared" si="4"/>
        <v>0</v>
      </c>
      <c r="W17" s="138">
        <v>44.35</v>
      </c>
      <c r="X17" s="20"/>
      <c r="Y17" s="37"/>
      <c r="Z17" s="37"/>
      <c r="AA17" s="37"/>
      <c r="AB17" s="37"/>
      <c r="AC17" s="64"/>
      <c r="AD17" s="70"/>
      <c r="AE17" s="4"/>
      <c r="AF17" s="4"/>
      <c r="AG17" s="4"/>
      <c r="AH17" s="4"/>
      <c r="BH17" s="147"/>
      <c r="BI17" s="147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</row>
    <row r="18" spans="1:102" ht="35.1" customHeight="1" thickTop="1" thickBot="1" x14ac:dyDescent="0.3">
      <c r="A18" s="48">
        <v>10</v>
      </c>
      <c r="B18" s="42">
        <v>255</v>
      </c>
      <c r="C18" s="43">
        <f t="shared" si="2"/>
        <v>255</v>
      </c>
      <c r="D18" s="42">
        <v>165</v>
      </c>
      <c r="E18" s="44">
        <f t="shared" si="5"/>
        <v>420</v>
      </c>
      <c r="F18" s="164" t="s">
        <v>1</v>
      </c>
      <c r="G18" s="165"/>
      <c r="H18" s="166"/>
      <c r="I18" s="181">
        <f>SUM(I15:J17)</f>
        <v>121</v>
      </c>
      <c r="J18" s="182"/>
      <c r="K18" s="27"/>
      <c r="L18" s="27"/>
      <c r="M18" s="13"/>
      <c r="O18" s="28"/>
      <c r="Q18" s="13" t="s">
        <v>2</v>
      </c>
      <c r="S18" s="136" t="s">
        <v>23</v>
      </c>
      <c r="T18" s="132">
        <v>0</v>
      </c>
      <c r="U18" s="133">
        <f t="shared" si="3"/>
        <v>0</v>
      </c>
      <c r="V18" s="134">
        <f t="shared" si="4"/>
        <v>0</v>
      </c>
      <c r="W18" s="138">
        <v>44.35</v>
      </c>
      <c r="X18" s="21"/>
      <c r="Y18" s="37"/>
      <c r="Z18" s="37"/>
      <c r="AA18" s="37"/>
      <c r="AB18" s="37"/>
      <c r="AC18" s="64"/>
      <c r="AD18" s="160"/>
      <c r="AE18" s="160"/>
      <c r="AF18" s="8"/>
      <c r="AG18" s="8"/>
      <c r="AH18" s="8"/>
      <c r="BE18" s="147"/>
      <c r="BF18" s="147"/>
      <c r="BH18" s="147"/>
      <c r="BI18" s="147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</row>
    <row r="19" spans="1:102" ht="35.1" customHeight="1" thickTop="1" thickBot="1" x14ac:dyDescent="0.3">
      <c r="A19" s="48">
        <v>11</v>
      </c>
      <c r="B19" s="42">
        <v>255</v>
      </c>
      <c r="C19" s="43">
        <f t="shared" si="2"/>
        <v>255</v>
      </c>
      <c r="D19" s="42">
        <v>165</v>
      </c>
      <c r="E19" s="44">
        <f>SUM(C19:D19)</f>
        <v>420</v>
      </c>
      <c r="F19" s="77"/>
      <c r="G19" s="76"/>
      <c r="H19" s="76"/>
      <c r="I19" s="179"/>
      <c r="J19" s="179"/>
      <c r="K19" s="27"/>
      <c r="L19" s="27"/>
      <c r="M19" s="13"/>
      <c r="N19" s="13"/>
      <c r="O19" s="28"/>
      <c r="Q19" s="13" t="s">
        <v>2</v>
      </c>
      <c r="S19" s="136" t="s">
        <v>32</v>
      </c>
      <c r="T19" s="139">
        <v>0</v>
      </c>
      <c r="U19" s="133">
        <f>SUM(T19)*6.74</f>
        <v>0</v>
      </c>
      <c r="V19" s="134">
        <f t="shared" si="4"/>
        <v>0</v>
      </c>
      <c r="W19" s="135">
        <v>6.74</v>
      </c>
      <c r="X19" s="19"/>
      <c r="Y19" s="37"/>
      <c r="Z19" s="37"/>
      <c r="AA19" s="37"/>
      <c r="AB19" s="37"/>
      <c r="AC19" s="64"/>
      <c r="AD19" s="5"/>
      <c r="AE19" s="5"/>
      <c r="AF19" s="5"/>
      <c r="AG19" s="5"/>
      <c r="AH19" s="5"/>
      <c r="BJ19" s="147"/>
      <c r="BK19" s="147"/>
      <c r="CD19" s="116"/>
      <c r="CE19" s="116"/>
      <c r="CF19" s="116"/>
      <c r="CG19" s="116"/>
      <c r="CH19" s="116"/>
      <c r="CI19" s="116"/>
      <c r="CJ19" s="116"/>
      <c r="CK19" s="116"/>
      <c r="CL19" s="116"/>
      <c r="CM19" s="116"/>
      <c r="CN19" s="116"/>
      <c r="CO19" s="116"/>
      <c r="CP19" s="116"/>
      <c r="CQ19" s="116"/>
      <c r="CR19" s="116"/>
      <c r="CS19" s="116"/>
      <c r="CT19" s="116"/>
      <c r="CU19" s="116"/>
      <c r="CV19" s="116"/>
      <c r="CW19" s="116"/>
      <c r="CX19" s="116"/>
    </row>
    <row r="20" spans="1:102" ht="35.1" customHeight="1" thickTop="1" thickBot="1" x14ac:dyDescent="0.3">
      <c r="A20" s="57" t="s">
        <v>28</v>
      </c>
      <c r="B20" s="42">
        <v>255</v>
      </c>
      <c r="C20" s="43">
        <f t="shared" si="2"/>
        <v>255</v>
      </c>
      <c r="D20" s="42">
        <v>165</v>
      </c>
      <c r="E20" s="44">
        <f t="shared" si="5"/>
        <v>420</v>
      </c>
      <c r="F20" s="49" t="s">
        <v>12</v>
      </c>
      <c r="G20" s="66" t="s">
        <v>14</v>
      </c>
      <c r="H20" s="79" t="s">
        <v>0</v>
      </c>
      <c r="I20" s="80" t="s">
        <v>13</v>
      </c>
      <c r="J20" s="80" t="s">
        <v>9</v>
      </c>
      <c r="K20" s="27"/>
      <c r="L20" s="27"/>
      <c r="M20" s="13"/>
      <c r="N20" s="13"/>
      <c r="O20" s="28"/>
      <c r="Q20" s="13" t="s">
        <v>2</v>
      </c>
      <c r="S20" s="140" t="s">
        <v>33</v>
      </c>
      <c r="T20" s="141">
        <v>0</v>
      </c>
      <c r="U20" s="142">
        <f>SUM(T20)*5.73</f>
        <v>0</v>
      </c>
      <c r="V20" s="143">
        <f t="shared" si="4"/>
        <v>0</v>
      </c>
      <c r="W20" s="144">
        <v>5.73</v>
      </c>
      <c r="X20" s="19"/>
      <c r="Y20" s="37"/>
      <c r="Z20" s="37"/>
      <c r="AA20" s="37"/>
      <c r="AB20" s="37"/>
      <c r="AC20" s="37"/>
      <c r="AD20" s="81"/>
      <c r="AE20" s="82"/>
      <c r="AF20" s="82"/>
      <c r="AG20" s="82"/>
      <c r="AH20" s="82"/>
      <c r="BA20" s="115"/>
      <c r="BJ20" s="147"/>
      <c r="BK20" s="147"/>
      <c r="CD20" s="116"/>
      <c r="CE20" s="116"/>
      <c r="CF20" s="116"/>
      <c r="CG20" s="116"/>
      <c r="CH20" s="116"/>
      <c r="CI20" s="116"/>
      <c r="CJ20" s="116"/>
      <c r="CK20" s="116"/>
      <c r="CL20" s="116"/>
      <c r="CM20" s="116"/>
      <c r="CN20" s="116"/>
      <c r="CO20" s="116"/>
      <c r="CP20" s="116"/>
      <c r="CQ20" s="116"/>
      <c r="CR20" s="116"/>
      <c r="CS20" s="116"/>
      <c r="CT20" s="116"/>
      <c r="CU20" s="116"/>
      <c r="CV20" s="116"/>
      <c r="CW20" s="116"/>
      <c r="CX20" s="116"/>
    </row>
    <row r="21" spans="1:102" ht="35.1" customHeight="1" thickTop="1" thickBot="1" x14ac:dyDescent="0.3">
      <c r="A21" s="48" t="s">
        <v>6</v>
      </c>
      <c r="B21" s="42">
        <v>255</v>
      </c>
      <c r="C21" s="43">
        <f t="shared" si="2"/>
        <v>255</v>
      </c>
      <c r="D21" s="42">
        <v>165</v>
      </c>
      <c r="E21" s="44">
        <f t="shared" si="5"/>
        <v>420</v>
      </c>
      <c r="F21" s="83" t="s">
        <v>8</v>
      </c>
      <c r="G21" s="84">
        <f>-I13</f>
        <v>-844</v>
      </c>
      <c r="H21" s="84">
        <f>C27*24</f>
        <v>6104.347826086957</v>
      </c>
      <c r="I21" s="84">
        <f>H21+G21</f>
        <v>5260.347826086957</v>
      </c>
      <c r="J21" s="84">
        <f>SUM(I21)*6.292316</f>
        <v>33099.770791652176</v>
      </c>
      <c r="K21" s="27"/>
      <c r="L21" s="27"/>
      <c r="M21" s="13"/>
      <c r="O21" s="28"/>
      <c r="Q21" s="13" t="s">
        <v>2</v>
      </c>
      <c r="S21" s="23"/>
      <c r="U21" s="22"/>
      <c r="V21" s="22"/>
      <c r="W21" s="85"/>
      <c r="X21" s="18"/>
      <c r="Y21" s="37"/>
      <c r="Z21" s="37"/>
      <c r="AA21" s="37"/>
      <c r="AB21" s="37"/>
      <c r="AC21" s="37"/>
      <c r="AD21" s="81"/>
      <c r="AE21" s="82"/>
      <c r="AF21" s="82"/>
      <c r="AG21" s="82"/>
      <c r="AH21" s="82"/>
      <c r="BJ21" s="147"/>
      <c r="BK21" s="147"/>
      <c r="CD21" s="116"/>
      <c r="CE21" s="116"/>
      <c r="CF21" s="116"/>
      <c r="CG21" s="116"/>
      <c r="CH21" s="116"/>
      <c r="CI21" s="116"/>
      <c r="CJ21" s="116"/>
      <c r="CK21" s="116"/>
      <c r="CL21" s="116"/>
      <c r="CM21" s="116"/>
      <c r="CN21" s="116"/>
      <c r="CO21" s="116"/>
      <c r="CP21" s="116"/>
      <c r="CQ21" s="116"/>
      <c r="CR21" s="116"/>
      <c r="CS21" s="116"/>
      <c r="CT21" s="116"/>
      <c r="CU21" s="116"/>
      <c r="CV21" s="116"/>
      <c r="CW21" s="116"/>
      <c r="CX21" s="116"/>
    </row>
    <row r="22" spans="1:102" ht="35.1" customHeight="1" thickTop="1" thickBot="1" x14ac:dyDescent="0.3">
      <c r="A22" s="57">
        <v>2</v>
      </c>
      <c r="B22" s="42">
        <v>255</v>
      </c>
      <c r="C22" s="43">
        <f>SUM(B22:B22)</f>
        <v>255</v>
      </c>
      <c r="D22" s="42">
        <v>165</v>
      </c>
      <c r="E22" s="44">
        <f>SUM(C22:D22)</f>
        <v>420</v>
      </c>
      <c r="F22" s="83" t="s">
        <v>3</v>
      </c>
      <c r="G22" s="84">
        <f>-I18</f>
        <v>-121</v>
      </c>
      <c r="H22" s="84">
        <f>D27*24</f>
        <v>3960</v>
      </c>
      <c r="I22" s="84">
        <f>H22+G22</f>
        <v>3839</v>
      </c>
      <c r="J22" s="84">
        <f>SUM(I22)*6.292316</f>
        <v>24156.201123999999</v>
      </c>
      <c r="K22" s="27"/>
      <c r="L22" s="27"/>
      <c r="M22" s="86"/>
      <c r="O22" s="28"/>
      <c r="Q22" s="13" t="s">
        <v>2</v>
      </c>
      <c r="X22" s="87"/>
      <c r="Y22" s="37"/>
      <c r="Z22" s="37"/>
      <c r="AA22" s="37"/>
      <c r="AB22" s="37"/>
      <c r="AC22" s="37"/>
      <c r="AD22" s="88"/>
      <c r="AE22" s="82"/>
      <c r="AF22" s="82"/>
      <c r="AG22" s="82"/>
      <c r="AH22" s="82"/>
      <c r="BA22" s="115"/>
      <c r="CD22" s="116"/>
      <c r="CE22" s="116"/>
      <c r="CF22" s="116"/>
      <c r="CG22" s="116"/>
      <c r="CH22" s="116"/>
      <c r="CI22" s="116"/>
      <c r="CJ22" s="116"/>
      <c r="CK22" s="116"/>
      <c r="CL22" s="116"/>
      <c r="CM22" s="116"/>
      <c r="CN22" s="116"/>
      <c r="CO22" s="116"/>
      <c r="CP22" s="116"/>
      <c r="CQ22" s="116"/>
      <c r="CR22" s="116"/>
      <c r="CS22" s="116"/>
      <c r="CT22" s="116"/>
      <c r="CU22" s="116"/>
      <c r="CV22" s="116"/>
      <c r="CW22" s="116"/>
      <c r="CX22" s="116"/>
    </row>
    <row r="23" spans="1:102" ht="35.1" customHeight="1" thickTop="1" thickBot="1" x14ac:dyDescent="0.25">
      <c r="A23" s="48">
        <v>3</v>
      </c>
      <c r="B23" s="42">
        <v>255</v>
      </c>
      <c r="C23" s="43">
        <f>SUM(B23:B23)</f>
        <v>255</v>
      </c>
      <c r="D23" s="42">
        <v>165</v>
      </c>
      <c r="E23" s="44">
        <f t="shared" si="5"/>
        <v>420</v>
      </c>
      <c r="F23" s="83" t="s">
        <v>1</v>
      </c>
      <c r="G23" s="84">
        <f>SUM(G21:G22)</f>
        <v>-965</v>
      </c>
      <c r="H23" s="84">
        <f>SUM(H21:H22)</f>
        <v>10064.347826086956</v>
      </c>
      <c r="I23" s="84">
        <f>SUM(I21:I22)</f>
        <v>9099.347826086956</v>
      </c>
      <c r="J23" s="89">
        <f>SUM(J21:J22)</f>
        <v>57255.971915652175</v>
      </c>
      <c r="K23" s="90">
        <f>F27</f>
        <v>38410.485495652174</v>
      </c>
      <c r="L23" s="158" t="s">
        <v>40</v>
      </c>
      <c r="M23" s="183"/>
      <c r="O23" s="28"/>
      <c r="Q23" s="13" t="s">
        <v>2</v>
      </c>
      <c r="X23" s="52"/>
      <c r="Y23" s="37"/>
      <c r="Z23" s="37"/>
      <c r="AA23" s="37"/>
      <c r="AB23" s="37"/>
      <c r="AC23" s="37"/>
      <c r="AD23" s="81"/>
      <c r="AE23" s="82"/>
      <c r="AF23" s="82"/>
      <c r="AG23" s="82"/>
      <c r="AH23" s="82"/>
      <c r="CD23" s="116"/>
      <c r="CE23" s="116"/>
      <c r="CF23" s="116"/>
      <c r="CG23" s="116"/>
      <c r="CH23" s="116"/>
      <c r="CI23" s="116"/>
      <c r="CJ23" s="116"/>
      <c r="CK23" s="116"/>
      <c r="CL23" s="116"/>
      <c r="CM23" s="116"/>
      <c r="CN23" s="116"/>
      <c r="CO23" s="116"/>
      <c r="CP23" s="116"/>
      <c r="CQ23" s="116"/>
      <c r="CR23" s="116"/>
      <c r="CS23" s="116"/>
      <c r="CT23" s="116"/>
      <c r="CU23" s="116"/>
      <c r="CV23" s="116"/>
      <c r="CW23" s="116"/>
      <c r="CX23" s="116"/>
    </row>
    <row r="24" spans="1:102" ht="35.1" customHeight="1" thickTop="1" thickBot="1" x14ac:dyDescent="0.25">
      <c r="A24" s="48">
        <v>4</v>
      </c>
      <c r="B24" s="42">
        <v>255</v>
      </c>
      <c r="C24" s="43">
        <f>SUM(B24:B24)</f>
        <v>255</v>
      </c>
      <c r="D24" s="42">
        <v>165</v>
      </c>
      <c r="E24" s="44">
        <f t="shared" si="5"/>
        <v>420</v>
      </c>
      <c r="F24" s="161" t="s">
        <v>8</v>
      </c>
      <c r="G24" s="162"/>
      <c r="H24" s="163"/>
      <c r="I24" s="189">
        <f>SUM(I21)*6.292316</f>
        <v>33099.770791652176</v>
      </c>
      <c r="J24" s="190"/>
      <c r="K24" s="90">
        <f>F28</f>
        <v>24917.571359999998</v>
      </c>
      <c r="L24" s="158" t="s">
        <v>25</v>
      </c>
      <c r="M24" s="159"/>
      <c r="O24" s="28"/>
      <c r="Q24" s="13" t="s">
        <v>2</v>
      </c>
      <c r="X24" s="52"/>
      <c r="Y24" s="37"/>
      <c r="Z24" s="37"/>
      <c r="AA24" s="37"/>
      <c r="AB24" s="37"/>
      <c r="AC24" s="37"/>
      <c r="AD24" s="177"/>
      <c r="AE24" s="177"/>
      <c r="AF24" s="12"/>
      <c r="AG24" s="152"/>
      <c r="AH24" s="152"/>
      <c r="CD24" s="116"/>
      <c r="CE24" s="116"/>
      <c r="CF24" s="116"/>
      <c r="CG24" s="116"/>
      <c r="CH24" s="116"/>
      <c r="CI24" s="116"/>
      <c r="CJ24" s="116"/>
      <c r="CK24" s="116"/>
      <c r="CL24" s="116"/>
      <c r="CM24" s="116"/>
      <c r="CN24" s="116"/>
      <c r="CO24" s="116"/>
      <c r="CP24" s="116"/>
      <c r="CQ24" s="116"/>
      <c r="CR24" s="116"/>
      <c r="CS24" s="116"/>
      <c r="CT24" s="116"/>
      <c r="CU24" s="116"/>
      <c r="CV24" s="116"/>
      <c r="CW24" s="116"/>
      <c r="CX24" s="116"/>
    </row>
    <row r="25" spans="1:102" ht="35.1" customHeight="1" thickTop="1" thickBot="1" x14ac:dyDescent="0.3">
      <c r="A25" s="48">
        <v>5</v>
      </c>
      <c r="B25" s="42">
        <v>255</v>
      </c>
      <c r="C25" s="43">
        <f>SUM(B25:B25)</f>
        <v>255</v>
      </c>
      <c r="D25" s="42">
        <v>165</v>
      </c>
      <c r="E25" s="44">
        <f>SUM(C25:D25)</f>
        <v>420</v>
      </c>
      <c r="F25" s="167" t="s">
        <v>25</v>
      </c>
      <c r="G25" s="168"/>
      <c r="H25" s="169"/>
      <c r="I25" s="184">
        <f>SUM(I22)*6.292316</f>
        <v>24156.201123999999</v>
      </c>
      <c r="J25" s="185"/>
      <c r="K25" s="92">
        <f>SUM(K23:L24)</f>
        <v>63328.056855652176</v>
      </c>
      <c r="L25" s="175" t="s">
        <v>41</v>
      </c>
      <c r="M25" s="176"/>
      <c r="N25" s="16"/>
      <c r="O25" s="28"/>
      <c r="Q25" s="13" t="s">
        <v>2</v>
      </c>
      <c r="T25" s="16"/>
      <c r="U25" s="91"/>
      <c r="X25" s="52"/>
      <c r="Y25" s="37"/>
      <c r="Z25" s="37"/>
      <c r="AA25" s="37"/>
      <c r="AB25" s="37"/>
      <c r="AC25" s="37"/>
      <c r="AD25" s="177"/>
      <c r="AE25" s="177"/>
      <c r="AF25" s="52"/>
      <c r="AG25" s="152"/>
      <c r="AH25" s="152"/>
      <c r="CD25" s="116"/>
      <c r="CE25" s="116"/>
      <c r="CF25" s="116"/>
      <c r="CG25" s="116"/>
      <c r="CH25" s="116"/>
      <c r="CI25" s="116"/>
      <c r="CJ25" s="116"/>
      <c r="CK25" s="116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</row>
    <row r="26" spans="1:102" ht="35.1" customHeight="1" thickTop="1" thickBot="1" x14ac:dyDescent="0.3">
      <c r="A26" s="94" t="s">
        <v>7</v>
      </c>
      <c r="B26" s="42"/>
      <c r="C26" s="43">
        <f>SUM(B26:B26)</f>
        <v>0</v>
      </c>
      <c r="D26" s="42"/>
      <c r="E26" s="44">
        <f t="shared" si="5"/>
        <v>0</v>
      </c>
      <c r="F26" s="197" t="s">
        <v>1</v>
      </c>
      <c r="G26" s="198"/>
      <c r="H26" s="199"/>
      <c r="I26" s="200">
        <f>SUM(I24:I25)</f>
        <v>57255.971915652175</v>
      </c>
      <c r="J26" s="201"/>
      <c r="K26" s="95"/>
      <c r="L26" s="95" t="s">
        <v>2</v>
      </c>
      <c r="M26" s="96"/>
      <c r="N26" s="16"/>
      <c r="Q26" s="13"/>
      <c r="T26" s="16"/>
      <c r="U26" s="91"/>
      <c r="X26" s="87"/>
      <c r="Y26" s="37"/>
      <c r="Z26" s="37"/>
      <c r="AA26" s="37"/>
      <c r="AB26" s="37"/>
      <c r="AC26" s="37"/>
      <c r="AD26" s="97"/>
      <c r="AE26" s="97"/>
      <c r="AF26" s="97"/>
      <c r="AG26" s="97"/>
      <c r="AH26" s="97"/>
      <c r="BA26" s="115"/>
      <c r="CD26" s="116"/>
      <c r="CE26" s="116"/>
      <c r="CF26" s="116"/>
      <c r="CG26" s="116"/>
      <c r="CH26" s="116"/>
      <c r="CI26" s="116"/>
      <c r="CJ26" s="116"/>
      <c r="CK26" s="116"/>
      <c r="CL26" s="116"/>
      <c r="CM26" s="116"/>
      <c r="CN26" s="116"/>
      <c r="CO26" s="116"/>
      <c r="CP26" s="116"/>
      <c r="CQ26" s="116"/>
      <c r="CR26" s="116"/>
      <c r="CS26" s="116"/>
      <c r="CT26" s="116"/>
      <c r="CU26" s="116"/>
      <c r="CV26" s="116"/>
      <c r="CW26" s="116"/>
      <c r="CX26" s="116"/>
    </row>
    <row r="27" spans="1:102" ht="35.1" customHeight="1" thickTop="1" thickBot="1" x14ac:dyDescent="0.3">
      <c r="A27" s="99" t="s">
        <v>11</v>
      </c>
      <c r="B27" s="100">
        <f>AVERAGE(B3:B26)</f>
        <v>254.34782608695653</v>
      </c>
      <c r="C27" s="100">
        <f>SUM(B27)</f>
        <v>254.34782608695653</v>
      </c>
      <c r="D27" s="100">
        <f>AVERAGE(D3:D26)</f>
        <v>165</v>
      </c>
      <c r="E27" s="101">
        <f>C27+D27</f>
        <v>419.3478260869565</v>
      </c>
      <c r="F27" s="207">
        <f>C27*24*6.292316</f>
        <v>38410.485495652174</v>
      </c>
      <c r="G27" s="208"/>
      <c r="H27" s="194" t="s">
        <v>24</v>
      </c>
      <c r="I27" s="195"/>
      <c r="J27" s="196"/>
      <c r="K27" s="95"/>
      <c r="L27" s="95"/>
      <c r="M27" s="95"/>
      <c r="N27" s="7"/>
      <c r="O27" s="16"/>
      <c r="T27" s="16"/>
      <c r="U27" s="91"/>
      <c r="X27" s="87"/>
      <c r="Y27" s="37"/>
      <c r="Z27" s="37"/>
      <c r="AA27" s="37"/>
      <c r="AB27" s="37"/>
      <c r="AC27" s="37"/>
      <c r="AD27" s="97"/>
      <c r="AE27" s="97"/>
      <c r="AF27" s="97"/>
      <c r="AG27" s="97" t="s">
        <v>2</v>
      </c>
      <c r="AH27" s="97"/>
      <c r="BE27" s="147"/>
      <c r="BF27" s="147"/>
      <c r="BG27" s="147"/>
      <c r="BH27" s="147"/>
      <c r="BI27" s="147"/>
      <c r="CD27" s="116"/>
      <c r="CE27" s="116"/>
      <c r="CF27" s="116"/>
      <c r="CG27" s="116"/>
      <c r="CH27" s="116"/>
      <c r="CI27" s="116"/>
      <c r="CJ27" s="116"/>
      <c r="CK27" s="116"/>
      <c r="CL27" s="116"/>
      <c r="CM27" s="116"/>
      <c r="CN27" s="116"/>
      <c r="CO27" s="116"/>
      <c r="CP27" s="116"/>
      <c r="CQ27" s="116"/>
      <c r="CR27" s="116"/>
      <c r="CS27" s="116"/>
      <c r="CT27" s="116"/>
      <c r="CU27" s="116"/>
      <c r="CV27" s="116"/>
      <c r="CW27" s="116"/>
      <c r="CX27" s="116"/>
    </row>
    <row r="28" spans="1:102" ht="35.1" customHeight="1" thickTop="1" thickBot="1" x14ac:dyDescent="0.25">
      <c r="A28" s="99"/>
      <c r="B28" s="102"/>
      <c r="C28" s="102"/>
      <c r="D28" s="102"/>
      <c r="E28" s="102"/>
      <c r="F28" s="207">
        <f>D27*24*6.292316</f>
        <v>24917.571359999998</v>
      </c>
      <c r="G28" s="208"/>
      <c r="H28" s="202" t="s">
        <v>25</v>
      </c>
      <c r="I28" s="203"/>
      <c r="J28" s="204"/>
      <c r="K28" s="95"/>
      <c r="L28" s="95"/>
      <c r="M28" s="95"/>
      <c r="N28" s="5"/>
      <c r="O28" s="11"/>
      <c r="X28" s="87"/>
      <c r="Y28" s="37"/>
      <c r="Z28" s="37"/>
      <c r="AA28" s="37"/>
      <c r="AB28" s="37"/>
      <c r="AC28" s="37"/>
      <c r="AD28" s="97"/>
      <c r="AE28" s="97"/>
      <c r="AF28" s="97"/>
      <c r="AG28" s="97"/>
      <c r="AH28" s="97"/>
      <c r="BE28" s="147"/>
      <c r="BF28" s="147"/>
      <c r="BG28" s="147"/>
      <c r="BH28" s="147"/>
      <c r="BI28" s="147"/>
      <c r="CD28" s="116"/>
      <c r="CE28" s="116"/>
      <c r="CF28" s="116"/>
      <c r="CG28" s="116"/>
      <c r="CH28" s="116"/>
      <c r="CI28" s="116"/>
      <c r="CJ28" s="116"/>
      <c r="CK28" s="116"/>
      <c r="CL28" s="116"/>
      <c r="CM28" s="116"/>
      <c r="CN28" s="116"/>
      <c r="CO28" s="116"/>
      <c r="CP28" s="116"/>
      <c r="CQ28" s="116"/>
      <c r="CR28" s="116"/>
      <c r="CS28" s="116"/>
      <c r="CT28" s="116"/>
      <c r="CU28" s="116"/>
      <c r="CV28" s="116"/>
      <c r="CW28" s="116"/>
      <c r="CX28" s="116"/>
    </row>
    <row r="29" spans="1:102" ht="35.1" customHeight="1" thickTop="1" thickBot="1" x14ac:dyDescent="0.25">
      <c r="A29" s="99"/>
      <c r="B29" s="102"/>
      <c r="C29" s="102"/>
      <c r="D29" s="102"/>
      <c r="E29" s="102"/>
      <c r="F29" s="205">
        <f>SUM(F27:G28)</f>
        <v>63328.056855652176</v>
      </c>
      <c r="G29" s="206"/>
      <c r="H29" s="191" t="s">
        <v>27</v>
      </c>
      <c r="I29" s="192"/>
      <c r="J29" s="193"/>
      <c r="K29" s="95"/>
      <c r="L29" s="95"/>
      <c r="M29" s="95"/>
      <c r="N29" s="5"/>
      <c r="P29" s="103"/>
      <c r="Q29" s="74"/>
      <c r="R29" s="93"/>
      <c r="S29" s="78"/>
      <c r="T29" s="104"/>
      <c r="U29" s="104"/>
      <c r="V29" s="103"/>
      <c r="W29" s="103"/>
      <c r="X29" s="87"/>
      <c r="Y29" s="37"/>
      <c r="Z29" s="37"/>
      <c r="AA29" s="37"/>
      <c r="AB29" s="37"/>
      <c r="AC29" s="37"/>
      <c r="AD29" s="97"/>
      <c r="AE29" s="97"/>
      <c r="AF29" s="97"/>
      <c r="AG29" s="97"/>
      <c r="AH29" s="97"/>
      <c r="BE29" s="147"/>
      <c r="BF29" s="147"/>
      <c r="BG29" s="147"/>
      <c r="BH29" s="147"/>
      <c r="BI29" s="147"/>
      <c r="CD29" s="116"/>
      <c r="CE29" s="116"/>
      <c r="CF29" s="116"/>
      <c r="CG29" s="116"/>
      <c r="CH29" s="116"/>
      <c r="CI29" s="116"/>
      <c r="CJ29" s="116"/>
      <c r="CK29" s="116"/>
      <c r="CL29" s="116"/>
      <c r="CM29" s="116"/>
      <c r="CN29" s="116"/>
      <c r="CO29" s="116"/>
      <c r="CP29" s="116"/>
      <c r="CQ29" s="116"/>
      <c r="CR29" s="116"/>
      <c r="CS29" s="116"/>
      <c r="CT29" s="116"/>
      <c r="CU29" s="116"/>
      <c r="CV29" s="116"/>
      <c r="CW29" s="116"/>
      <c r="CX29" s="116"/>
    </row>
    <row r="30" spans="1:102" ht="24" thickTop="1" x14ac:dyDescent="0.2">
      <c r="A30" s="105"/>
      <c r="B30" s="106"/>
      <c r="C30" s="107"/>
      <c r="D30" s="107"/>
      <c r="E30" s="107"/>
      <c r="F30" s="108"/>
      <c r="G30" s="108"/>
      <c r="H30" s="103"/>
      <c r="I30" s="103"/>
      <c r="J30" s="103"/>
      <c r="K30" s="103"/>
      <c r="L30" s="32" t="s">
        <v>2</v>
      </c>
      <c r="O30" s="103"/>
      <c r="P30" s="103"/>
      <c r="Q30" s="74"/>
      <c r="R30" s="98"/>
      <c r="S30" s="78"/>
      <c r="T30" s="14"/>
      <c r="U30" s="103"/>
      <c r="V30" s="103"/>
      <c r="W30" s="15"/>
      <c r="X30" s="105"/>
      <c r="Y30" s="109"/>
      <c r="Z30" s="109"/>
      <c r="AA30" s="109"/>
      <c r="AB30" s="109"/>
      <c r="AC30" s="109"/>
      <c r="AD30" s="108"/>
      <c r="AE30" s="108"/>
      <c r="AF30" s="103"/>
      <c r="AG30" s="103"/>
      <c r="AH30" s="103"/>
      <c r="CD30" s="116"/>
      <c r="CE30" s="116"/>
      <c r="CF30" s="116"/>
      <c r="CG30" s="116"/>
      <c r="CH30" s="116"/>
      <c r="CI30" s="116"/>
      <c r="CJ30" s="116"/>
      <c r="CK30" s="116"/>
      <c r="CL30" s="116"/>
      <c r="CM30" s="116"/>
      <c r="CN30" s="116"/>
      <c r="CO30" s="116"/>
      <c r="CP30" s="116"/>
      <c r="CQ30" s="116"/>
      <c r="CR30" s="116"/>
      <c r="CS30" s="116"/>
      <c r="CT30" s="116"/>
      <c r="CU30" s="116"/>
      <c r="CV30" s="116"/>
      <c r="CW30" s="116"/>
      <c r="CX30" s="116"/>
    </row>
    <row r="31" spans="1:102" ht="23.25" x14ac:dyDescent="0.2">
      <c r="A31" s="105"/>
      <c r="B31" s="106"/>
      <c r="C31" s="107"/>
      <c r="D31" s="107"/>
      <c r="E31" s="107"/>
      <c r="F31" s="108"/>
      <c r="G31" s="108"/>
      <c r="H31" s="103"/>
      <c r="I31" s="103"/>
      <c r="J31" s="103"/>
      <c r="K31" s="32"/>
      <c r="L31" s="107"/>
      <c r="M31" s="107"/>
      <c r="N31" s="110"/>
      <c r="O31" s="103"/>
      <c r="P31" s="103"/>
      <c r="Q31" s="74"/>
      <c r="R31" s="7"/>
      <c r="S31" s="78"/>
      <c r="T31" s="32"/>
      <c r="U31" s="103"/>
      <c r="V31" s="103"/>
      <c r="W31" s="15"/>
      <c r="X31" s="105"/>
      <c r="Y31" s="109"/>
      <c r="Z31" s="109"/>
      <c r="AA31" s="109"/>
      <c r="AB31" s="109"/>
      <c r="AC31" s="109"/>
      <c r="AD31" s="108"/>
      <c r="AE31" s="108"/>
      <c r="AF31" s="103"/>
      <c r="AG31" s="103"/>
      <c r="AH31" s="103"/>
      <c r="CD31" s="116"/>
      <c r="CE31" s="116"/>
      <c r="CF31" s="116"/>
      <c r="CG31" s="116"/>
      <c r="CH31" s="116"/>
      <c r="CI31" s="116"/>
      <c r="CJ31" s="116"/>
      <c r="CK31" s="116"/>
      <c r="CL31" s="116"/>
      <c r="CM31" s="116"/>
      <c r="CN31" s="116"/>
      <c r="CO31" s="116"/>
      <c r="CP31" s="116"/>
      <c r="CQ31" s="116"/>
      <c r="CR31" s="116"/>
      <c r="CS31" s="116"/>
      <c r="CT31" s="116"/>
      <c r="CU31" s="116"/>
      <c r="CV31" s="116"/>
      <c r="CW31" s="116"/>
      <c r="CX31" s="116"/>
    </row>
    <row r="32" spans="1:102" ht="23.25" x14ac:dyDescent="0.2">
      <c r="A32" s="105"/>
      <c r="B32" s="106"/>
      <c r="C32" s="107" t="s">
        <v>2</v>
      </c>
      <c r="D32" s="107"/>
      <c r="E32" s="107"/>
      <c r="F32" s="108"/>
      <c r="G32" s="108"/>
      <c r="H32" s="103"/>
      <c r="I32" s="103"/>
      <c r="J32" s="103"/>
      <c r="K32" s="32"/>
      <c r="L32" s="107"/>
      <c r="M32" s="107"/>
      <c r="N32" s="14"/>
      <c r="O32" s="103"/>
      <c r="P32" s="103"/>
      <c r="Q32" s="103"/>
      <c r="R32" s="111"/>
      <c r="S32" s="111"/>
      <c r="T32" s="14"/>
      <c r="U32" s="103"/>
      <c r="V32" s="103"/>
      <c r="X32" s="105"/>
      <c r="Y32" s="109"/>
      <c r="Z32" s="109"/>
      <c r="AA32" s="109"/>
      <c r="AB32" s="109"/>
      <c r="AC32" s="109"/>
      <c r="AD32" s="108"/>
      <c r="AE32" s="108"/>
      <c r="AF32" s="103"/>
      <c r="AG32" s="103"/>
      <c r="AH32" s="103"/>
      <c r="CD32" s="116"/>
      <c r="CE32" s="116"/>
      <c r="CF32" s="116"/>
      <c r="CG32" s="116"/>
      <c r="CH32" s="116"/>
      <c r="CI32" s="116"/>
      <c r="CJ32" s="116"/>
      <c r="CK32" s="116"/>
      <c r="CL32" s="116"/>
      <c r="CM32" s="116"/>
      <c r="CN32" s="116"/>
      <c r="CO32" s="116"/>
      <c r="CP32" s="116"/>
      <c r="CQ32" s="116"/>
      <c r="CR32" s="116"/>
      <c r="CS32" s="116"/>
      <c r="CT32" s="116"/>
      <c r="CU32" s="116"/>
      <c r="CV32" s="116"/>
      <c r="CW32" s="116"/>
      <c r="CX32" s="116"/>
    </row>
    <row r="33" spans="1:34" ht="23.25" x14ac:dyDescent="0.2">
      <c r="A33" s="105"/>
      <c r="B33" s="106"/>
      <c r="C33" s="107"/>
      <c r="D33" s="107"/>
      <c r="E33" s="107"/>
      <c r="F33" s="108"/>
      <c r="G33" s="108"/>
      <c r="H33" s="103" t="s">
        <v>2</v>
      </c>
      <c r="I33" s="103"/>
      <c r="J33" s="103"/>
      <c r="K33" s="32"/>
      <c r="L33" s="32" t="s">
        <v>2</v>
      </c>
      <c r="M33" s="112"/>
      <c r="N33" s="2"/>
      <c r="O33" s="103"/>
      <c r="P33" s="103"/>
      <c r="Q33" s="103"/>
      <c r="R33" s="32"/>
      <c r="S33" s="32"/>
      <c r="T33" s="32"/>
      <c r="U33" s="103"/>
      <c r="V33" s="103"/>
      <c r="X33" s="105"/>
      <c r="Y33" s="109"/>
      <c r="Z33" s="109"/>
      <c r="AA33" s="109"/>
      <c r="AB33" s="109"/>
      <c r="AC33" s="109"/>
      <c r="AD33" s="108"/>
      <c r="AE33" s="108"/>
      <c r="AF33" s="103" t="s">
        <v>2</v>
      </c>
      <c r="AG33" s="103"/>
      <c r="AH33" s="103"/>
    </row>
    <row r="34" spans="1:34" ht="23.25" x14ac:dyDescent="0.2">
      <c r="A34" s="105"/>
      <c r="C34" s="107"/>
      <c r="D34" s="107"/>
      <c r="E34" s="107"/>
      <c r="F34" s="107"/>
      <c r="G34" s="108"/>
      <c r="H34" s="108"/>
      <c r="I34" s="103"/>
      <c r="J34" s="103"/>
      <c r="K34" s="103"/>
      <c r="L34" s="111"/>
      <c r="M34" s="111"/>
      <c r="N34" s="32"/>
      <c r="O34" s="2"/>
      <c r="P34" s="2"/>
      <c r="Q34" s="2"/>
      <c r="R34" s="32"/>
      <c r="S34" s="32"/>
      <c r="T34" s="32"/>
      <c r="U34" s="32"/>
      <c r="V34" s="32"/>
      <c r="W34" s="32"/>
    </row>
    <row r="35" spans="1:34" ht="20.25" x14ac:dyDescent="0.2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32"/>
    </row>
    <row r="36" spans="1:34" x14ac:dyDescent="0.2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</row>
    <row r="37" spans="1:34" ht="35.1" customHeight="1" x14ac:dyDescent="0.2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</row>
    <row r="38" spans="1:34" ht="35.1" customHeight="1" x14ac:dyDescent="0.2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</row>
    <row r="39" spans="1:34" ht="35.1" customHeight="1" x14ac:dyDescent="0.2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</row>
    <row r="40" spans="1:34" ht="35.1" customHeight="1" x14ac:dyDescent="0.2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</row>
    <row r="41" spans="1:34" ht="35.1" customHeight="1" x14ac:dyDescent="0.2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</row>
    <row r="42" spans="1:34" ht="35.1" customHeight="1" x14ac:dyDescent="0.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</row>
    <row r="43" spans="1:34" ht="35.1" customHeight="1" x14ac:dyDescent="0.2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</row>
    <row r="44" spans="1:34" ht="35.1" customHeight="1" x14ac:dyDescent="0.2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</row>
    <row r="45" spans="1:34" ht="35.1" customHeight="1" x14ac:dyDescent="0.2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</row>
    <row r="46" spans="1:34" ht="35.1" customHeight="1" x14ac:dyDescent="0.2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</row>
    <row r="47" spans="1:34" ht="35.1" customHeight="1" x14ac:dyDescent="0.2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</row>
    <row r="48" spans="1:34" ht="35.1" customHeight="1" x14ac:dyDescent="0.2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</row>
    <row r="49" spans="1:22" ht="35.1" customHeight="1" x14ac:dyDescent="0.2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</row>
    <row r="50" spans="1:22" ht="35.1" customHeight="1" x14ac:dyDescent="0.2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</row>
    <row r="51" spans="1:22" ht="35.1" customHeight="1" x14ac:dyDescent="0.2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</row>
    <row r="52" spans="1:22" ht="35.1" customHeight="1" x14ac:dyDescent="0.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</row>
    <row r="53" spans="1:22" ht="35.1" customHeight="1" x14ac:dyDescent="0.2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</row>
    <row r="54" spans="1:22" ht="35.1" customHeight="1" x14ac:dyDescent="0.2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</row>
    <row r="55" spans="1:22" ht="35.1" customHeight="1" x14ac:dyDescent="0.2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</row>
    <row r="56" spans="1:22" ht="35.1" customHeight="1" x14ac:dyDescent="0.2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</row>
    <row r="57" spans="1:22" ht="35.1" customHeight="1" x14ac:dyDescent="0.2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</row>
    <row r="58" spans="1:22" ht="35.1" customHeight="1" x14ac:dyDescent="0.2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</row>
    <row r="59" spans="1:22" ht="35.1" customHeight="1" x14ac:dyDescent="0.2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</row>
    <row r="60" spans="1:22" ht="35.1" customHeight="1" x14ac:dyDescent="0.2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</row>
    <row r="61" spans="1:22" ht="35.1" customHeight="1" x14ac:dyDescent="0.2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</row>
    <row r="62" spans="1:22" ht="35.1" customHeight="1" x14ac:dyDescent="0.2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</row>
    <row r="63" spans="1:22" ht="35.1" customHeight="1" x14ac:dyDescent="0.2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</row>
    <row r="64" spans="1:22" ht="35.1" customHeight="1" x14ac:dyDescent="0.2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</row>
    <row r="65" spans="1:22" ht="35.1" customHeight="1" x14ac:dyDescent="0.2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</row>
    <row r="66" spans="1:22" ht="35.1" customHeight="1" x14ac:dyDescent="0.2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</row>
    <row r="67" spans="1:22" x14ac:dyDescent="0.2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</row>
    <row r="68" spans="1:22" x14ac:dyDescent="0.2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</row>
    <row r="69" spans="1:22" x14ac:dyDescent="0.2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</row>
    <row r="70" spans="1:22" x14ac:dyDescent="0.2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</row>
    <row r="71" spans="1:22" x14ac:dyDescent="0.2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</row>
    <row r="72" spans="1:22" x14ac:dyDescent="0.2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</row>
    <row r="73" spans="1:22" x14ac:dyDescent="0.2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</row>
    <row r="74" spans="1:22" x14ac:dyDescent="0.2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</row>
    <row r="75" spans="1:22" x14ac:dyDescent="0.2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</row>
    <row r="76" spans="1:22" x14ac:dyDescent="0.2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</row>
    <row r="77" spans="1:22" x14ac:dyDescent="0.2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</row>
    <row r="78" spans="1:22" x14ac:dyDescent="0.2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</row>
    <row r="79" spans="1:22" x14ac:dyDescent="0.2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</row>
    <row r="80" spans="1:22" x14ac:dyDescent="0.2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</row>
    <row r="81" spans="1:22" x14ac:dyDescent="0.2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</row>
    <row r="82" spans="1:22" x14ac:dyDescent="0.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</row>
    <row r="83" spans="1:22" x14ac:dyDescent="0.2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</row>
    <row r="84" spans="1:22" x14ac:dyDescent="0.2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</row>
    <row r="85" spans="1:22" x14ac:dyDescent="0.2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</row>
    <row r="86" spans="1:22" x14ac:dyDescent="0.2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</row>
    <row r="87" spans="1:22" x14ac:dyDescent="0.2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</row>
    <row r="88" spans="1:22" x14ac:dyDescent="0.2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</row>
    <row r="89" spans="1:22" x14ac:dyDescent="0.2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</row>
    <row r="90" spans="1:22" x14ac:dyDescent="0.2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</row>
    <row r="91" spans="1:22" x14ac:dyDescent="0.2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</row>
    <row r="92" spans="1:22" x14ac:dyDescent="0.2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</row>
    <row r="93" spans="1:22" ht="20.25" x14ac:dyDescent="0.2">
      <c r="N93" s="5"/>
      <c r="O93" s="32"/>
      <c r="P93" s="32"/>
      <c r="T93" s="91"/>
    </row>
    <row r="94" spans="1:22" ht="20.25" x14ac:dyDescent="0.2">
      <c r="N94" s="5"/>
      <c r="O94" s="10"/>
      <c r="P94" s="32"/>
      <c r="T94" s="91"/>
    </row>
    <row r="95" spans="1:22" ht="20.25" x14ac:dyDescent="0.2">
      <c r="O95" s="10"/>
      <c r="P95" s="32"/>
      <c r="T95" s="91"/>
    </row>
    <row r="96" spans="1:22" ht="20.25" x14ac:dyDescent="0.2">
      <c r="P96" s="32"/>
      <c r="T96" s="91"/>
    </row>
    <row r="97" spans="1:20" ht="23.25" x14ac:dyDescent="0.2">
      <c r="A97" s="105"/>
      <c r="B97" s="113"/>
      <c r="C97" s="113" t="s">
        <v>2</v>
      </c>
      <c r="D97" s="113"/>
      <c r="E97" s="113"/>
      <c r="F97" s="108"/>
      <c r="G97" s="108"/>
      <c r="H97" s="103"/>
      <c r="I97" s="103"/>
      <c r="J97" s="103"/>
      <c r="P97" s="32"/>
      <c r="T97" s="91"/>
    </row>
    <row r="98" spans="1:20" ht="23.25" x14ac:dyDescent="0.2">
      <c r="A98" s="105"/>
      <c r="B98" s="113"/>
      <c r="C98" s="113"/>
      <c r="D98" s="113"/>
      <c r="E98" s="113"/>
      <c r="F98" s="108"/>
      <c r="G98" s="108"/>
      <c r="H98" s="103" t="s">
        <v>2</v>
      </c>
      <c r="I98" s="103"/>
      <c r="J98" s="103"/>
      <c r="K98" s="103"/>
      <c r="L98" s="111"/>
      <c r="M98" s="111"/>
      <c r="P98" s="32"/>
      <c r="T98" s="91"/>
    </row>
    <row r="99" spans="1:20" ht="23.25" x14ac:dyDescent="0.2">
      <c r="A99" s="105"/>
      <c r="C99" s="113"/>
      <c r="D99" s="113"/>
      <c r="E99" s="113"/>
      <c r="F99" s="113"/>
      <c r="G99" s="108"/>
      <c r="H99" s="108"/>
      <c r="I99" s="103"/>
      <c r="J99" s="103"/>
      <c r="K99" s="103"/>
      <c r="L99" s="32"/>
      <c r="M99" s="32" t="s">
        <v>2</v>
      </c>
      <c r="P99" s="32"/>
      <c r="T99" s="91"/>
    </row>
    <row r="100" spans="1:20" ht="23.25" x14ac:dyDescent="0.2">
      <c r="A100" s="105"/>
      <c r="C100" s="113"/>
      <c r="D100" s="113"/>
      <c r="E100" s="113"/>
      <c r="F100" s="113"/>
      <c r="G100" s="108"/>
      <c r="H100" s="108"/>
      <c r="I100" s="103"/>
      <c r="J100" s="103"/>
      <c r="K100" s="2"/>
      <c r="L100" s="2"/>
      <c r="M100" s="2"/>
      <c r="P100" s="32"/>
      <c r="T100" s="91"/>
    </row>
    <row r="101" spans="1:20" ht="20.25" x14ac:dyDescent="0.2">
      <c r="A101" s="3"/>
      <c r="B101" s="2"/>
      <c r="C101" s="3"/>
      <c r="D101" s="3"/>
      <c r="E101" s="3"/>
      <c r="F101" s="3"/>
      <c r="G101" s="32"/>
      <c r="H101" s="32"/>
      <c r="I101" s="2"/>
      <c r="J101" s="2"/>
      <c r="K101" s="2"/>
      <c r="L101" s="2"/>
      <c r="M101" s="2"/>
      <c r="P101" s="32"/>
    </row>
    <row r="102" spans="1:20" ht="20.25" x14ac:dyDescent="0.2">
      <c r="A102" s="3"/>
      <c r="B102" s="2"/>
      <c r="C102" s="3"/>
      <c r="D102" s="3"/>
      <c r="E102" s="3"/>
      <c r="F102" s="3"/>
      <c r="G102" s="32"/>
      <c r="H102" s="32"/>
      <c r="I102" s="2"/>
      <c r="J102" s="2"/>
      <c r="K102" s="2"/>
      <c r="L102" s="2"/>
      <c r="M102" s="2"/>
      <c r="P102" s="32"/>
    </row>
    <row r="103" spans="1:20" ht="20.25" x14ac:dyDescent="0.2">
      <c r="A103" s="3"/>
      <c r="B103" s="2"/>
      <c r="C103" s="3"/>
      <c r="D103" s="3"/>
      <c r="E103" s="3"/>
      <c r="F103" s="3"/>
      <c r="G103" s="32"/>
      <c r="H103" s="32"/>
      <c r="I103" s="2"/>
      <c r="J103" s="2"/>
      <c r="K103" s="2"/>
      <c r="L103" s="2"/>
      <c r="M103" s="2"/>
      <c r="P103" s="32"/>
    </row>
    <row r="104" spans="1:20" ht="20.25" x14ac:dyDescent="0.2">
      <c r="A104" s="3"/>
      <c r="B104" s="3"/>
      <c r="C104" s="3"/>
      <c r="D104" s="3"/>
      <c r="E104" s="3"/>
      <c r="F104" s="3"/>
      <c r="G104" s="32"/>
      <c r="H104" s="32"/>
      <c r="I104" s="2"/>
      <c r="J104" s="2"/>
      <c r="K104" s="2"/>
      <c r="L104" s="2"/>
      <c r="M104" s="2"/>
      <c r="P104" s="32"/>
    </row>
    <row r="105" spans="1:20" ht="20.25" x14ac:dyDescent="0.2">
      <c r="A105" s="3"/>
      <c r="B105" s="3"/>
      <c r="C105" s="3"/>
      <c r="D105" s="3"/>
      <c r="E105" s="3"/>
      <c r="F105" s="3"/>
      <c r="G105" s="32"/>
      <c r="H105" s="32"/>
      <c r="I105" s="2"/>
      <c r="J105" s="2"/>
      <c r="K105" s="2"/>
      <c r="L105" s="2"/>
      <c r="M105" s="2"/>
      <c r="P105" s="32"/>
    </row>
    <row r="106" spans="1:20" ht="20.25" x14ac:dyDescent="0.2">
      <c r="A106" s="3"/>
      <c r="B106" s="3"/>
      <c r="C106" s="3"/>
      <c r="D106" s="3"/>
      <c r="E106" s="3"/>
      <c r="F106" s="3"/>
      <c r="G106" s="32"/>
      <c r="H106" s="32"/>
      <c r="I106" s="2"/>
      <c r="J106" s="2"/>
      <c r="K106" s="2"/>
      <c r="L106" s="2"/>
      <c r="M106" s="2"/>
      <c r="P106" s="32"/>
    </row>
    <row r="107" spans="1:20" ht="20.25" x14ac:dyDescent="0.2">
      <c r="A107" s="3"/>
      <c r="B107" s="3"/>
      <c r="C107" s="3"/>
      <c r="D107" s="3"/>
      <c r="E107" s="3"/>
      <c r="F107" s="3"/>
      <c r="G107" s="32"/>
      <c r="H107" s="32"/>
      <c r="I107" s="2"/>
      <c r="J107" s="2"/>
      <c r="K107" s="2"/>
      <c r="L107" s="2"/>
      <c r="M107" s="2"/>
      <c r="P107" s="32"/>
    </row>
    <row r="108" spans="1:20" ht="20.25" x14ac:dyDescent="0.2">
      <c r="A108" s="3"/>
      <c r="B108" s="3"/>
      <c r="C108" s="3"/>
      <c r="D108" s="3"/>
      <c r="E108" s="3"/>
      <c r="F108" s="3"/>
      <c r="G108" s="32"/>
      <c r="H108" s="32"/>
      <c r="I108" s="2"/>
      <c r="J108" s="2"/>
      <c r="K108" s="2"/>
      <c r="L108" s="2"/>
      <c r="M108" s="2"/>
      <c r="P108" s="32"/>
    </row>
    <row r="109" spans="1:20" ht="20.25" x14ac:dyDescent="0.2">
      <c r="A109" s="3"/>
      <c r="B109" s="3"/>
      <c r="C109" s="3"/>
      <c r="D109" s="3"/>
      <c r="E109" s="3"/>
      <c r="F109" s="3"/>
      <c r="G109" s="32"/>
      <c r="H109" s="32"/>
      <c r="I109" s="2"/>
      <c r="J109" s="2"/>
      <c r="K109" s="2"/>
      <c r="L109" s="2"/>
      <c r="M109" s="2"/>
      <c r="P109" s="32"/>
    </row>
    <row r="110" spans="1:20" ht="20.25" x14ac:dyDescent="0.2">
      <c r="A110" s="3"/>
      <c r="B110" s="3"/>
      <c r="C110" s="3"/>
      <c r="D110" s="3"/>
      <c r="E110" s="3"/>
      <c r="F110" s="3"/>
      <c r="G110" s="32"/>
      <c r="H110" s="32"/>
      <c r="I110" s="2"/>
      <c r="J110" s="2"/>
      <c r="K110" s="2"/>
      <c r="L110" s="2"/>
      <c r="M110" s="2"/>
      <c r="N110" s="32"/>
      <c r="P110" s="32"/>
    </row>
    <row r="111" spans="1:20" ht="20.25" x14ac:dyDescent="0.2">
      <c r="B111" s="3"/>
      <c r="I111" s="2"/>
      <c r="J111" s="2"/>
      <c r="K111" s="2"/>
      <c r="L111" s="2"/>
      <c r="M111" s="2"/>
      <c r="N111" s="32" t="s">
        <v>2</v>
      </c>
      <c r="P111" s="32"/>
    </row>
    <row r="112" spans="1:20" ht="20.25" x14ac:dyDescent="0.2">
      <c r="B112" s="3"/>
      <c r="I112" s="2"/>
      <c r="J112" s="2"/>
      <c r="M112" s="2"/>
      <c r="N112" s="2"/>
      <c r="P112" s="32"/>
    </row>
    <row r="113" spans="2:16" ht="20.25" x14ac:dyDescent="0.2">
      <c r="B113" s="3"/>
      <c r="M113" s="2"/>
      <c r="N113" s="2"/>
      <c r="P113" s="32"/>
    </row>
    <row r="114" spans="2:16" ht="20.25" x14ac:dyDescent="0.2">
      <c r="M114" s="2"/>
      <c r="N114" s="2"/>
      <c r="P114" s="32"/>
    </row>
    <row r="115" spans="2:16" ht="20.25" x14ac:dyDescent="0.2">
      <c r="M115" s="2"/>
      <c r="N115" s="2"/>
      <c r="P115" s="32"/>
    </row>
    <row r="116" spans="2:16" ht="20.25" x14ac:dyDescent="0.2">
      <c r="M116" s="2"/>
      <c r="N116" s="2"/>
      <c r="P116" s="32"/>
    </row>
    <row r="117" spans="2:16" ht="20.25" x14ac:dyDescent="0.2">
      <c r="M117" s="2"/>
      <c r="N117" s="2"/>
      <c r="P117" s="32"/>
    </row>
    <row r="118" spans="2:16" ht="20.25" x14ac:dyDescent="0.2">
      <c r="M118" s="2"/>
      <c r="N118" s="2"/>
      <c r="O118" s="32"/>
      <c r="P118" s="32"/>
    </row>
    <row r="119" spans="2:16" ht="20.25" x14ac:dyDescent="0.2">
      <c r="M119" s="2"/>
      <c r="N119" s="2"/>
      <c r="O119" s="32"/>
      <c r="P119" s="32"/>
    </row>
    <row r="120" spans="2:16" ht="20.25" x14ac:dyDescent="0.2">
      <c r="M120" s="2"/>
      <c r="N120" s="2"/>
      <c r="O120" s="2"/>
      <c r="P120" s="32"/>
    </row>
    <row r="121" spans="2:16" ht="20.25" x14ac:dyDescent="0.2">
      <c r="M121" s="2"/>
      <c r="N121" s="2"/>
      <c r="O121" s="2"/>
      <c r="P121" s="32"/>
    </row>
    <row r="122" spans="2:16" ht="20.25" x14ac:dyDescent="0.2">
      <c r="M122" s="2"/>
      <c r="N122" s="2"/>
      <c r="O122" s="2"/>
      <c r="P122" s="32"/>
    </row>
    <row r="123" spans="2:16" ht="20.25" x14ac:dyDescent="0.2">
      <c r="M123" s="2"/>
      <c r="N123" s="2"/>
      <c r="O123" s="2"/>
      <c r="P123" s="32"/>
    </row>
    <row r="124" spans="2:16" ht="20.25" x14ac:dyDescent="0.2">
      <c r="M124" s="2"/>
      <c r="N124" s="2"/>
      <c r="O124" s="2"/>
      <c r="P124" s="2"/>
    </row>
    <row r="125" spans="2:16" ht="20.25" x14ac:dyDescent="0.2">
      <c r="M125" s="2"/>
      <c r="N125" s="2"/>
      <c r="O125" s="2"/>
      <c r="P125" s="2"/>
    </row>
    <row r="126" spans="2:16" ht="20.25" x14ac:dyDescent="0.2">
      <c r="M126" s="2"/>
      <c r="N126" s="2"/>
      <c r="O126" s="2"/>
      <c r="P126" s="2"/>
    </row>
    <row r="127" spans="2:16" ht="20.25" x14ac:dyDescent="0.2">
      <c r="M127" s="2"/>
      <c r="N127" s="2"/>
      <c r="O127" s="2"/>
      <c r="P127" s="2"/>
    </row>
    <row r="128" spans="2:16" ht="20.25" x14ac:dyDescent="0.2">
      <c r="M128" s="2"/>
      <c r="N128" s="2"/>
      <c r="O128" s="2"/>
      <c r="P128" s="2"/>
    </row>
    <row r="129" spans="13:16" ht="20.25" x14ac:dyDescent="0.2">
      <c r="M129" s="2"/>
      <c r="N129" s="2"/>
      <c r="O129" s="2"/>
      <c r="P129" s="2"/>
    </row>
    <row r="130" spans="13:16" ht="20.25" x14ac:dyDescent="0.2">
      <c r="M130" s="2"/>
      <c r="N130" s="2"/>
      <c r="O130" s="2"/>
      <c r="P130" s="2"/>
    </row>
    <row r="131" spans="13:16" ht="20.25" x14ac:dyDescent="0.2">
      <c r="M131" s="2"/>
      <c r="N131" s="2"/>
      <c r="O131" s="2"/>
      <c r="P131" s="2"/>
    </row>
    <row r="132" spans="13:16" ht="20.25" x14ac:dyDescent="0.2">
      <c r="M132" s="2"/>
      <c r="N132" s="2"/>
      <c r="O132" s="2"/>
      <c r="P132" s="2"/>
    </row>
    <row r="133" spans="13:16" ht="20.25" x14ac:dyDescent="0.2">
      <c r="M133" s="2"/>
      <c r="N133" s="2"/>
      <c r="O133" s="2"/>
      <c r="P133" s="2"/>
    </row>
    <row r="134" spans="13:16" ht="20.25" x14ac:dyDescent="0.2">
      <c r="M134" s="2"/>
      <c r="N134" s="2"/>
      <c r="O134" s="2"/>
      <c r="P134" s="2"/>
    </row>
    <row r="135" spans="13:16" ht="20.25" x14ac:dyDescent="0.2">
      <c r="M135" s="2"/>
      <c r="N135" s="2"/>
      <c r="O135" s="2"/>
      <c r="P135" s="2"/>
    </row>
    <row r="136" spans="13:16" ht="20.25" x14ac:dyDescent="0.2">
      <c r="M136" s="2"/>
      <c r="N136" s="2"/>
      <c r="O136" s="2"/>
      <c r="P136" s="2"/>
    </row>
    <row r="137" spans="13:16" ht="20.25" x14ac:dyDescent="0.2">
      <c r="M137" s="2"/>
      <c r="N137" s="2"/>
      <c r="O137" s="2"/>
      <c r="P137" s="2"/>
    </row>
    <row r="138" spans="13:16" ht="20.25" x14ac:dyDescent="0.2">
      <c r="M138" s="2"/>
      <c r="N138" s="2"/>
      <c r="O138" s="2"/>
      <c r="P138" s="2"/>
    </row>
    <row r="139" spans="13:16" ht="20.25" x14ac:dyDescent="0.2">
      <c r="M139" s="2"/>
      <c r="N139" s="2"/>
      <c r="O139" s="2"/>
      <c r="P139" s="2"/>
    </row>
    <row r="140" spans="13:16" ht="20.25" x14ac:dyDescent="0.2">
      <c r="M140" s="2"/>
      <c r="N140" s="2"/>
      <c r="O140" s="2"/>
      <c r="P140" s="2"/>
    </row>
    <row r="141" spans="13:16" ht="20.25" x14ac:dyDescent="0.2">
      <c r="M141" s="2"/>
      <c r="N141" s="2"/>
      <c r="O141" s="2"/>
      <c r="P141" s="2"/>
    </row>
    <row r="142" spans="13:16" ht="20.25" x14ac:dyDescent="0.2">
      <c r="M142" s="2"/>
      <c r="N142" s="2"/>
      <c r="O142" s="2"/>
      <c r="P142" s="2"/>
    </row>
    <row r="143" spans="13:16" ht="20.25" x14ac:dyDescent="0.2">
      <c r="M143" s="2"/>
      <c r="N143" s="2"/>
      <c r="O143" s="2"/>
      <c r="P143" s="2"/>
    </row>
    <row r="144" spans="13:16" ht="20.25" x14ac:dyDescent="0.2">
      <c r="M144" s="2"/>
      <c r="N144" s="2"/>
      <c r="O144" s="2"/>
      <c r="P144" s="2"/>
    </row>
    <row r="145" spans="13:16" ht="20.25" x14ac:dyDescent="0.2">
      <c r="M145" s="2"/>
      <c r="N145" s="2"/>
      <c r="O145" s="2"/>
      <c r="P145" s="2"/>
    </row>
    <row r="146" spans="13:16" ht="20.25" x14ac:dyDescent="0.2">
      <c r="N146" s="2"/>
      <c r="O146" s="2"/>
      <c r="P146" s="2"/>
    </row>
    <row r="147" spans="13:16" ht="20.25" x14ac:dyDescent="0.2">
      <c r="N147" s="2"/>
      <c r="O147" s="2"/>
    </row>
    <row r="148" spans="13:16" ht="20.25" x14ac:dyDescent="0.2">
      <c r="N148" s="2"/>
      <c r="O148" s="2"/>
    </row>
    <row r="149" spans="13:16" ht="20.25" x14ac:dyDescent="0.2">
      <c r="N149" s="2"/>
      <c r="O149" s="2"/>
    </row>
    <row r="150" spans="13:16" ht="20.25" x14ac:dyDescent="0.2">
      <c r="N150" s="2"/>
      <c r="O150" s="2"/>
    </row>
    <row r="151" spans="13:16" ht="20.25" x14ac:dyDescent="0.2">
      <c r="O151" s="2"/>
    </row>
    <row r="152" spans="13:16" ht="20.25" x14ac:dyDescent="0.2">
      <c r="O152" s="2"/>
    </row>
    <row r="153" spans="13:16" ht="20.25" x14ac:dyDescent="0.2">
      <c r="O153" s="2"/>
    </row>
    <row r="154" spans="13:16" ht="20.25" x14ac:dyDescent="0.2">
      <c r="O154" s="2"/>
    </row>
    <row r="155" spans="13:16" ht="20.25" x14ac:dyDescent="0.2">
      <c r="O155" s="2"/>
    </row>
    <row r="156" spans="13:16" ht="20.25" x14ac:dyDescent="0.2">
      <c r="O156" s="2"/>
    </row>
    <row r="157" spans="13:16" ht="20.25" x14ac:dyDescent="0.2">
      <c r="O157" s="2"/>
    </row>
    <row r="158" spans="13:16" ht="20.25" x14ac:dyDescent="0.2">
      <c r="O158" s="2"/>
    </row>
    <row r="264" spans="1:1" x14ac:dyDescent="0.2">
      <c r="A264" s="114" t="s">
        <v>26</v>
      </c>
    </row>
    <row r="1048532" spans="13:13" x14ac:dyDescent="0.2">
      <c r="M1048532" s="11">
        <f>SUM(M32)</f>
        <v>0</v>
      </c>
    </row>
  </sheetData>
  <mergeCells count="80">
    <mergeCell ref="BE12:BF12"/>
    <mergeCell ref="BH13:BI13"/>
    <mergeCell ref="BE13:BF13"/>
    <mergeCell ref="BE14:BF14"/>
    <mergeCell ref="BH6:BI6"/>
    <mergeCell ref="BH7:BI7"/>
    <mergeCell ref="BE29:BF29"/>
    <mergeCell ref="BH15:BI15"/>
    <mergeCell ref="BH11:BI11"/>
    <mergeCell ref="I24:J24"/>
    <mergeCell ref="BE28:BF28"/>
    <mergeCell ref="BH12:BI12"/>
    <mergeCell ref="H29:J29"/>
    <mergeCell ref="H27:J27"/>
    <mergeCell ref="F26:H26"/>
    <mergeCell ref="I26:J26"/>
    <mergeCell ref="H28:J28"/>
    <mergeCell ref="BG28:BI28"/>
    <mergeCell ref="F29:G29"/>
    <mergeCell ref="F27:G27"/>
    <mergeCell ref="BG29:BI29"/>
    <mergeCell ref="F28:G28"/>
    <mergeCell ref="AR7:AS7"/>
    <mergeCell ref="BH8:BI8"/>
    <mergeCell ref="AD25:AE25"/>
    <mergeCell ref="I12:J12"/>
    <mergeCell ref="I14:J14"/>
    <mergeCell ref="I15:J15"/>
    <mergeCell ref="L8:M8"/>
    <mergeCell ref="I13:J13"/>
    <mergeCell ref="AD18:AE18"/>
    <mergeCell ref="I18:J18"/>
    <mergeCell ref="L23:M23"/>
    <mergeCell ref="I25:J25"/>
    <mergeCell ref="I19:J19"/>
    <mergeCell ref="I16:J16"/>
    <mergeCell ref="I17:J17"/>
    <mergeCell ref="S8:W8"/>
    <mergeCell ref="BA1:BB1"/>
    <mergeCell ref="BG27:BI27"/>
    <mergeCell ref="BJ6:BK6"/>
    <mergeCell ref="Y1:Z1"/>
    <mergeCell ref="L7:M7"/>
    <mergeCell ref="L25:M25"/>
    <mergeCell ref="BD1:BF1"/>
    <mergeCell ref="BJ19:BK19"/>
    <mergeCell ref="BE2:BI2"/>
    <mergeCell ref="BH3:BI3"/>
    <mergeCell ref="BE18:BF18"/>
    <mergeCell ref="BH16:BI16"/>
    <mergeCell ref="AD24:AE24"/>
    <mergeCell ref="AG3:AH3"/>
    <mergeCell ref="AG2:AH2"/>
    <mergeCell ref="BE27:BF27"/>
    <mergeCell ref="AB1:AD1"/>
    <mergeCell ref="A1:C1"/>
    <mergeCell ref="AG24:AH24"/>
    <mergeCell ref="AG25:AH25"/>
    <mergeCell ref="F2:J2"/>
    <mergeCell ref="L9:M9"/>
    <mergeCell ref="L24:M24"/>
    <mergeCell ref="AD14:AE14"/>
    <mergeCell ref="F24:H24"/>
    <mergeCell ref="F13:H13"/>
    <mergeCell ref="F25:H25"/>
    <mergeCell ref="F18:H18"/>
    <mergeCell ref="F12:G12"/>
    <mergeCell ref="BJ7:BK7"/>
    <mergeCell ref="BH4:BI4"/>
    <mergeCell ref="BH18:BI18"/>
    <mergeCell ref="BJ10:BK10"/>
    <mergeCell ref="BJ21:BK21"/>
    <mergeCell ref="BH9:BI9"/>
    <mergeCell ref="BJ8:BK8"/>
    <mergeCell ref="BH10:BI10"/>
    <mergeCell ref="BH14:BI14"/>
    <mergeCell ref="BJ9:BK9"/>
    <mergeCell ref="BJ20:BK20"/>
    <mergeCell ref="BH5:BI5"/>
    <mergeCell ref="BH17:BI17"/>
  </mergeCells>
  <printOptions horizontalCentered="1" verticalCentered="1"/>
  <pageMargins left="0.5" right="0.5" top="1" bottom="0.5" header="0" footer="0"/>
  <pageSetup paperSize="9" scale="65" orientation="portrait" r:id="rId1"/>
  <headerFooter alignWithMargins="0"/>
  <ignoredErrors>
    <ignoredError sqref="E27 C11" formula="1"/>
    <ignoredError sqref="U18:V20 U10:V1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FIERAN</vt:lpstr>
    </vt:vector>
  </TitlesOfParts>
  <Company>PETROBEL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ep02964</dc:creator>
  <cp:lastModifiedBy>Sameh Elsayed Mohamed</cp:lastModifiedBy>
  <dcterms:created xsi:type="dcterms:W3CDTF">2007-06-07T23:34:41Z</dcterms:created>
  <dcterms:modified xsi:type="dcterms:W3CDTF">2026-07-14T18:11:53Z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6b85822d04dd4d618a1fdd6002309f08</vt:lpwstr>
  </property>
</Properties>
</file>